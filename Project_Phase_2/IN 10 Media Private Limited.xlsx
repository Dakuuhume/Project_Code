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\true_ellora\phase_2\"/>
    </mc:Choice>
  </mc:AlternateContent>
  <bookViews>
    <workbookView xWindow="-120" yWindow="-120" windowWidth="21840" windowHeight="13140"/>
  </bookViews>
  <sheets>
    <sheet name="IN 10 Media Private Limit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L25" i="1" s="1"/>
  <c r="M25" i="1" s="1"/>
  <c r="J27" i="1" l="1"/>
  <c r="I27" i="1"/>
  <c r="H27" i="1"/>
  <c r="G27" i="1"/>
  <c r="F27" i="1"/>
  <c r="E27" i="1"/>
  <c r="K26" i="1"/>
  <c r="L26" i="1" s="1"/>
  <c r="M26" i="1" s="1"/>
  <c r="K24" i="1"/>
  <c r="L24" i="1" s="1"/>
  <c r="M24" i="1" s="1"/>
  <c r="K23" i="1"/>
  <c r="L23" i="1" s="1"/>
  <c r="M23" i="1" s="1"/>
  <c r="K22" i="1" l="1"/>
  <c r="L22" i="1" s="1"/>
  <c r="M22" i="1" s="1"/>
  <c r="K21" i="1" l="1"/>
  <c r="L21" i="1" s="1"/>
  <c r="M21" i="1" s="1"/>
  <c r="K20" i="1" l="1"/>
  <c r="L20" i="1" s="1"/>
  <c r="M20" i="1" s="1"/>
  <c r="K19" i="1" l="1"/>
  <c r="L19" i="1" s="1"/>
  <c r="M19" i="1" s="1"/>
  <c r="K18" i="1" l="1"/>
  <c r="L18" i="1" s="1"/>
  <c r="M18" i="1" s="1"/>
  <c r="K17" i="1" l="1"/>
  <c r="L17" i="1" s="1"/>
  <c r="M17" i="1" s="1"/>
  <c r="E15" i="1"/>
  <c r="K16" i="1" l="1"/>
  <c r="L16" i="1" s="1"/>
  <c r="M16" i="1" s="1"/>
  <c r="K15" i="1"/>
  <c r="L15" i="1" s="1"/>
  <c r="M15" i="1" s="1"/>
  <c r="K14" i="1"/>
  <c r="K13" i="1"/>
  <c r="K12" i="1"/>
  <c r="K11" i="1"/>
  <c r="K27" i="1" l="1"/>
  <c r="D27" i="1"/>
  <c r="M35" i="1" l="1"/>
  <c r="L14" i="1"/>
  <c r="M14" i="1" s="1"/>
  <c r="L13" i="1"/>
  <c r="M13" i="1" s="1"/>
  <c r="L12" i="1"/>
  <c r="M12" i="1" s="1"/>
  <c r="L11" i="1"/>
  <c r="M11" i="1" s="1"/>
  <c r="K9" i="1" l="1"/>
  <c r="L9" i="1" s="1"/>
  <c r="M9" i="1" l="1"/>
  <c r="K10" i="1"/>
  <c r="L10" i="1" s="1"/>
  <c r="M10" i="1" s="1"/>
  <c r="K8" i="1" l="1"/>
  <c r="L8" i="1" l="1"/>
  <c r="L27" i="1" s="1"/>
  <c r="M8" i="1" l="1"/>
  <c r="M27" i="1" l="1"/>
  <c r="M37" i="1" s="1"/>
</calcChain>
</file>

<file path=xl/sharedStrings.xml><?xml version="1.0" encoding="utf-8"?>
<sst xmlns="http://schemas.openxmlformats.org/spreadsheetml/2006/main" count="77" uniqueCount="54">
  <si>
    <t>Date</t>
  </si>
  <si>
    <t>Particulars</t>
  </si>
  <si>
    <t>Gross Total</t>
  </si>
  <si>
    <t>Hiring Charges (Sets)</t>
  </si>
  <si>
    <t>Studio Maintainance Charges.A</t>
  </si>
  <si>
    <t>Hiring Charges (Makeup Room)</t>
  </si>
  <si>
    <t>Grand Total</t>
  </si>
  <si>
    <t>Accounts Statement</t>
  </si>
  <si>
    <t xml:space="preserve">Net Taxable Amount </t>
  </si>
  <si>
    <t>Net Receivable Amount</t>
  </si>
  <si>
    <t xml:space="preserve">Total Received Amount By Us </t>
  </si>
  <si>
    <t>A</t>
  </si>
  <si>
    <t>B</t>
  </si>
  <si>
    <t>C</t>
  </si>
  <si>
    <t>D=(A-C)</t>
  </si>
  <si>
    <t>E</t>
  </si>
  <si>
    <t>F=(D+E)</t>
  </si>
  <si>
    <t xml:space="preserve">Less:- Receipts </t>
  </si>
  <si>
    <t xml:space="preserve">NEFT </t>
  </si>
  <si>
    <t>D</t>
  </si>
  <si>
    <t>01-Apr-2020 to 31-Mar-2021</t>
  </si>
  <si>
    <t>Power &amp; Fuel - A</t>
  </si>
  <si>
    <t>Hiring of Property &amp; Repair</t>
  </si>
  <si>
    <t xml:space="preserve">Outdoor Parking Charges </t>
  </si>
  <si>
    <t>Applicable Tds @7.5%</t>
  </si>
  <si>
    <t>TDS is not deductible if Total Invoicing in a Financial Year is less then Rs.2,40,000/- PA.</t>
  </si>
  <si>
    <t>*TDS is deductible only when Total Invoicing in a Financial Years exceeds Threshold limit of Rs.2,40,000/- P.A.</t>
  </si>
  <si>
    <t>Tan No.is mandatory if applicable tds deducted by party.</t>
  </si>
  <si>
    <t>IN 10 Media Private Limited</t>
  </si>
  <si>
    <t>TAN NO. MUME09356E</t>
  </si>
  <si>
    <t>Invoice.No.</t>
  </si>
  <si>
    <t>472/20-21</t>
  </si>
  <si>
    <t>475/20-21</t>
  </si>
  <si>
    <t>478/20-21</t>
  </si>
  <si>
    <t>490/20-21</t>
  </si>
  <si>
    <t>494/20-21</t>
  </si>
  <si>
    <t>496/20-21</t>
  </si>
  <si>
    <t>497/20-21</t>
  </si>
  <si>
    <t>499/20-21</t>
  </si>
  <si>
    <t>521/20-21</t>
  </si>
  <si>
    <t>527/20-21</t>
  </si>
  <si>
    <t>-</t>
  </si>
  <si>
    <t>531/20-21</t>
  </si>
  <si>
    <t>532/20-21</t>
  </si>
  <si>
    <t>533/20-21</t>
  </si>
  <si>
    <t>535/20-21</t>
  </si>
  <si>
    <t>536/20-21</t>
  </si>
  <si>
    <t>539/20-21</t>
  </si>
  <si>
    <t>546/20-21</t>
  </si>
  <si>
    <t>545/20-21</t>
  </si>
  <si>
    <t>Cheque.No.</t>
  </si>
  <si>
    <t>000007</t>
  </si>
  <si>
    <t xml:space="preserve">Net Excess Amount With Us </t>
  </si>
  <si>
    <t>616/20-21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</si>
</sst>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dd/m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2"/>
      <color theme="1"/>
      <name val="Tw Cen MT"/>
      <family val="2"/>
    </font>
    <font>
      <b/>
      <u/>
      <sz val="16"/>
      <color theme="1"/>
      <name val="Tw Cen MT"/>
      <family val="2"/>
    </font>
    <font>
      <sz val="14"/>
      <color theme="1"/>
      <name val="Tw Cen MT"/>
      <family val="2"/>
    </font>
    <font>
      <b/>
      <sz val="14"/>
      <color theme="1"/>
      <name val="Tw Cen MT"/>
      <family val="2"/>
    </font>
    <font>
      <b/>
      <sz val="16"/>
      <color theme="1"/>
      <name val="Tw Cen MT"/>
      <family val="2"/>
    </font>
    <font>
      <b/>
      <u/>
      <sz val="14"/>
      <color theme="1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164" fontId="2" fillId="0" borderId="9" xfId="1" applyFont="1" applyBorder="1" applyAlignment="1">
      <alignment horizontal="right" vertical="center"/>
    </xf>
    <xf numFmtId="164" fontId="3" fillId="0" borderId="9" xfId="1" applyFont="1" applyBorder="1" applyAlignment="1">
      <alignment horizontal="right" vertical="center"/>
    </xf>
    <xf numFmtId="164" fontId="3" fillId="0" borderId="10" xfId="1" applyFont="1" applyBorder="1" applyAlignment="1">
      <alignment horizontal="right" vertical="center"/>
    </xf>
    <xf numFmtId="164" fontId="3" fillId="0" borderId="0" xfId="1" applyFont="1" applyAlignment="1">
      <alignment vertical="center"/>
    </xf>
    <xf numFmtId="164" fontId="2" fillId="2" borderId="12" xfId="1" applyFont="1" applyFill="1" applyBorder="1" applyAlignment="1">
      <alignment horizontal="right" vertical="center"/>
    </xf>
    <xf numFmtId="164" fontId="2" fillId="2" borderId="13" xfId="1" applyFont="1" applyFill="1" applyBorder="1" applyAlignment="1">
      <alignment horizontal="right" vertical="center"/>
    </xf>
    <xf numFmtId="14" fontId="3" fillId="0" borderId="2" xfId="1" applyNumberFormat="1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vertical="center"/>
    </xf>
    <xf numFmtId="164" fontId="2" fillId="2" borderId="13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64" fontId="3" fillId="0" borderId="21" xfId="1" applyFont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165" fontId="3" fillId="0" borderId="8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3" fillId="3" borderId="0" xfId="0" applyFont="1" applyFill="1" applyAlignment="1">
      <alignment vertical="center"/>
    </xf>
    <xf numFmtId="49" fontId="8" fillId="0" borderId="0" xfId="0" applyNumberFormat="1" applyFont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164" fontId="3" fillId="3" borderId="0" xfId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/>
    </xf>
    <xf numFmtId="164" fontId="3" fillId="2" borderId="9" xfId="1" applyFont="1" applyFill="1" applyBorder="1" applyAlignment="1">
      <alignment horizontal="center" vertical="center"/>
    </xf>
    <xf numFmtId="164" fontId="3" fillId="2" borderId="10" xfId="1" applyFont="1" applyFill="1" applyBorder="1" applyAlignment="1">
      <alignment vertical="center"/>
    </xf>
    <xf numFmtId="164" fontId="3" fillId="0" borderId="9" xfId="1" quotePrefix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tabSelected="1" zoomScaleNormal="100" workbookViewId="0">
      <pane ySplit="7" topLeftCell="A31" activePane="bottomLeft" state="frozen"/>
      <selection pane="bottomLeft" activeCell="D33" sqref="D33"/>
    </sheetView>
  </sheetViews>
  <sheetFormatPr defaultColWidth="8.85546875" defaultRowHeight="15.75" x14ac:dyDescent="0.25"/>
  <cols>
    <col min="1" max="1" width="15.7109375" style="25" customWidth="1"/>
    <col min="2" max="2" width="28.5703125" style="7" bestFit="1" customWidth="1"/>
    <col min="3" max="3" width="12.28515625" style="7" bestFit="1" customWidth="1"/>
    <col min="4" max="4" width="15.85546875" style="7" bestFit="1" customWidth="1"/>
    <col min="5" max="5" width="15" style="7" hidden="1" customWidth="1"/>
    <col min="6" max="6" width="21" style="7" hidden="1" customWidth="1"/>
    <col min="7" max="7" width="18.28515625" style="7" hidden="1" customWidth="1"/>
    <col min="8" max="8" width="17.5703125" style="7" hidden="1" customWidth="1"/>
    <col min="9" max="9" width="12.28515625" style="7" hidden="1" customWidth="1"/>
    <col min="10" max="10" width="16.5703125" style="7" hidden="1" customWidth="1"/>
    <col min="11" max="11" width="14.5703125" style="7" bestFit="1" customWidth="1"/>
    <col min="12" max="12" width="12.85546875" style="7" bestFit="1" customWidth="1"/>
    <col min="13" max="13" width="16.5703125" style="7" bestFit="1" customWidth="1"/>
    <col min="14" max="14" width="12.5703125" style="7" bestFit="1" customWidth="1"/>
    <col min="15" max="15" width="14.5703125" style="7" bestFit="1" customWidth="1"/>
    <col min="16" max="16384" width="8.85546875" style="7"/>
  </cols>
  <sheetData>
    <row r="1" spans="1:16" ht="20.25" x14ac:dyDescent="0.25">
      <c r="A1" s="28" t="s">
        <v>28</v>
      </c>
      <c r="B1" s="26"/>
      <c r="C1" s="37" t="s">
        <v>29</v>
      </c>
      <c r="D1" s="37"/>
    </row>
    <row r="2" spans="1:16" x14ac:dyDescent="0.25">
      <c r="A2" s="39"/>
      <c r="B2" s="39"/>
    </row>
    <row r="3" spans="1:16" ht="18.75" x14ac:dyDescent="0.25">
      <c r="A3" s="40" t="s">
        <v>7</v>
      </c>
      <c r="B3" s="40"/>
    </row>
    <row r="4" spans="1:16" x14ac:dyDescent="0.25">
      <c r="A4" s="39"/>
      <c r="B4" s="39"/>
    </row>
    <row r="5" spans="1:16" x14ac:dyDescent="0.25">
      <c r="A5" s="31" t="s">
        <v>20</v>
      </c>
      <c r="B5" s="31"/>
      <c r="D5" s="2"/>
      <c r="K5" s="2"/>
      <c r="L5" s="2"/>
      <c r="M5" s="2"/>
    </row>
    <row r="6" spans="1:16" ht="16.5" thickBot="1" x14ac:dyDescent="0.3">
      <c r="A6" s="23"/>
      <c r="B6" s="31"/>
      <c r="D6" s="2" t="s">
        <v>11</v>
      </c>
      <c r="K6" s="2" t="s">
        <v>12</v>
      </c>
      <c r="L6" s="2" t="s">
        <v>13</v>
      </c>
      <c r="M6" s="2" t="s">
        <v>14</v>
      </c>
    </row>
    <row r="7" spans="1:16" s="2" customFormat="1" ht="48" thickBot="1" x14ac:dyDescent="0.3">
      <c r="A7" s="4" t="s">
        <v>0</v>
      </c>
      <c r="B7" s="5" t="s">
        <v>1</v>
      </c>
      <c r="C7" s="5" t="s">
        <v>30</v>
      </c>
      <c r="D7" s="5" t="s">
        <v>2</v>
      </c>
      <c r="E7" s="5" t="s">
        <v>3</v>
      </c>
      <c r="F7" s="5" t="s">
        <v>4</v>
      </c>
      <c r="G7" s="5" t="s">
        <v>22</v>
      </c>
      <c r="H7" s="5" t="s">
        <v>23</v>
      </c>
      <c r="I7" s="5" t="s">
        <v>21</v>
      </c>
      <c r="J7" s="5" t="s">
        <v>5</v>
      </c>
      <c r="K7" s="5" t="s">
        <v>8</v>
      </c>
      <c r="L7" s="5" t="s">
        <v>24</v>
      </c>
      <c r="M7" s="6" t="s">
        <v>9</v>
      </c>
    </row>
    <row r="8" spans="1:16" ht="20.25" customHeight="1" x14ac:dyDescent="0.25">
      <c r="A8" s="24">
        <v>44145</v>
      </c>
      <c r="B8" s="8" t="s">
        <v>28</v>
      </c>
      <c r="C8" s="9" t="s">
        <v>31</v>
      </c>
      <c r="D8" s="10">
        <v>63718</v>
      </c>
      <c r="E8" s="11">
        <v>45000</v>
      </c>
      <c r="F8" s="11">
        <v>1700</v>
      </c>
      <c r="G8" s="11"/>
      <c r="H8" s="11"/>
      <c r="I8" s="11">
        <v>1298</v>
      </c>
      <c r="J8" s="11">
        <v>6000</v>
      </c>
      <c r="K8" s="11">
        <f>SUM(E8:J8)</f>
        <v>53998</v>
      </c>
      <c r="L8" s="11">
        <f>ROUND(K8*7.5%,0)</f>
        <v>4050</v>
      </c>
      <c r="M8" s="12">
        <f>+D8-L8</f>
        <v>59668</v>
      </c>
      <c r="N8" s="13"/>
      <c r="O8" s="13"/>
      <c r="P8" s="13"/>
    </row>
    <row r="9" spans="1:16" ht="20.25" customHeight="1" x14ac:dyDescent="0.25">
      <c r="A9" s="24">
        <v>44146</v>
      </c>
      <c r="B9" s="8" t="s">
        <v>28</v>
      </c>
      <c r="C9" s="9" t="s">
        <v>32</v>
      </c>
      <c r="D9" s="10">
        <v>69266</v>
      </c>
      <c r="E9" s="11">
        <v>45000</v>
      </c>
      <c r="F9" s="11">
        <v>1700</v>
      </c>
      <c r="G9" s="11"/>
      <c r="H9" s="11"/>
      <c r="I9" s="11"/>
      <c r="J9" s="11">
        <v>12000</v>
      </c>
      <c r="K9" s="11">
        <f t="shared" ref="K9" si="0">SUM(E9:J9)</f>
        <v>58700</v>
      </c>
      <c r="L9" s="11">
        <f t="shared" ref="L9:L10" si="1">ROUND(K9*7.5%,0)</f>
        <v>4403</v>
      </c>
      <c r="M9" s="12">
        <f t="shared" ref="M9" si="2">+D9-L9</f>
        <v>64863</v>
      </c>
      <c r="N9" s="13"/>
      <c r="O9" s="13"/>
      <c r="P9" s="13"/>
    </row>
    <row r="10" spans="1:16" ht="20.25" customHeight="1" x14ac:dyDescent="0.25">
      <c r="A10" s="24">
        <v>44147</v>
      </c>
      <c r="B10" s="8" t="s">
        <v>28</v>
      </c>
      <c r="C10" s="9" t="s">
        <v>33</v>
      </c>
      <c r="D10" s="10">
        <v>66906</v>
      </c>
      <c r="E10" s="11">
        <v>45000</v>
      </c>
      <c r="F10" s="11">
        <v>1700</v>
      </c>
      <c r="G10" s="11"/>
      <c r="H10" s="11"/>
      <c r="I10" s="11"/>
      <c r="J10" s="11">
        <v>10000</v>
      </c>
      <c r="K10" s="11">
        <f>SUM(E10:J10)</f>
        <v>56700</v>
      </c>
      <c r="L10" s="11">
        <f t="shared" si="1"/>
        <v>4253</v>
      </c>
      <c r="M10" s="12">
        <f t="shared" ref="M10:M14" si="3">+D10-L10</f>
        <v>62653</v>
      </c>
      <c r="N10" s="13"/>
      <c r="O10" s="13"/>
      <c r="P10" s="13"/>
    </row>
    <row r="11" spans="1:16" ht="20.25" customHeight="1" x14ac:dyDescent="0.25">
      <c r="A11" s="24">
        <v>44151</v>
      </c>
      <c r="B11" s="8" t="s">
        <v>28</v>
      </c>
      <c r="C11" s="9" t="s">
        <v>34</v>
      </c>
      <c r="D11" s="10">
        <v>64846</v>
      </c>
      <c r="E11" s="11">
        <v>40000</v>
      </c>
      <c r="F11" s="11">
        <v>1700</v>
      </c>
      <c r="G11" s="11"/>
      <c r="H11" s="11"/>
      <c r="I11" s="11">
        <v>1254</v>
      </c>
      <c r="J11" s="11">
        <v>12000</v>
      </c>
      <c r="K11" s="11">
        <f t="shared" ref="K11:K15" si="4">SUM(E11:J11)</f>
        <v>54954</v>
      </c>
      <c r="L11" s="11">
        <f t="shared" ref="L11" si="5">ROUND(K11*7.5%,0)</f>
        <v>4122</v>
      </c>
      <c r="M11" s="12">
        <f t="shared" si="3"/>
        <v>60724</v>
      </c>
      <c r="N11" s="13"/>
      <c r="O11" s="13"/>
      <c r="P11" s="13"/>
    </row>
    <row r="12" spans="1:16" ht="20.25" customHeight="1" x14ac:dyDescent="0.25">
      <c r="A12" s="24">
        <v>44152</v>
      </c>
      <c r="B12" s="8" t="s">
        <v>28</v>
      </c>
      <c r="C12" s="9" t="s">
        <v>35</v>
      </c>
      <c r="D12" s="10">
        <v>80301</v>
      </c>
      <c r="E12" s="11">
        <v>40000</v>
      </c>
      <c r="F12" s="11">
        <v>1700</v>
      </c>
      <c r="G12" s="11"/>
      <c r="H12" s="11"/>
      <c r="I12" s="11">
        <v>352</v>
      </c>
      <c r="J12" s="11">
        <v>26000</v>
      </c>
      <c r="K12" s="11">
        <f t="shared" si="4"/>
        <v>68052</v>
      </c>
      <c r="L12" s="11">
        <f t="shared" ref="L12" si="6">ROUND(K12*7.5%,0)</f>
        <v>5104</v>
      </c>
      <c r="M12" s="12">
        <f t="shared" si="3"/>
        <v>75197</v>
      </c>
      <c r="N12" s="13"/>
      <c r="O12" s="13"/>
      <c r="P12" s="13"/>
    </row>
    <row r="13" spans="1:16" ht="20.25" customHeight="1" x14ac:dyDescent="0.25">
      <c r="A13" s="24">
        <v>44152</v>
      </c>
      <c r="B13" s="8" t="s">
        <v>28</v>
      </c>
      <c r="C13" s="9" t="s">
        <v>36</v>
      </c>
      <c r="D13" s="10">
        <v>35400</v>
      </c>
      <c r="E13" s="11">
        <v>27500</v>
      </c>
      <c r="F13" s="11">
        <v>2500</v>
      </c>
      <c r="G13" s="11"/>
      <c r="H13" s="11"/>
      <c r="I13" s="11"/>
      <c r="J13" s="11"/>
      <c r="K13" s="11">
        <f t="shared" si="4"/>
        <v>30000</v>
      </c>
      <c r="L13" s="11">
        <f t="shared" ref="L13" si="7">ROUND(K13*7.5%,0)</f>
        <v>2250</v>
      </c>
      <c r="M13" s="12">
        <f t="shared" si="3"/>
        <v>33150</v>
      </c>
      <c r="N13" s="13"/>
      <c r="O13" s="13"/>
      <c r="P13" s="13"/>
    </row>
    <row r="14" spans="1:16" ht="20.25" customHeight="1" x14ac:dyDescent="0.25">
      <c r="A14" s="24">
        <v>44153</v>
      </c>
      <c r="B14" s="8" t="s">
        <v>28</v>
      </c>
      <c r="C14" s="9" t="s">
        <v>37</v>
      </c>
      <c r="D14" s="10">
        <v>113870</v>
      </c>
      <c r="E14" s="11">
        <v>80000</v>
      </c>
      <c r="F14" s="11">
        <v>2500</v>
      </c>
      <c r="G14" s="11"/>
      <c r="H14" s="11"/>
      <c r="I14" s="11"/>
      <c r="J14" s="11">
        <v>14000</v>
      </c>
      <c r="K14" s="11">
        <f t="shared" si="4"/>
        <v>96500</v>
      </c>
      <c r="L14" s="11">
        <f t="shared" ref="L14:L18" si="8">ROUND(K14*7.5%,0)</f>
        <v>7238</v>
      </c>
      <c r="M14" s="12">
        <f t="shared" si="3"/>
        <v>106632</v>
      </c>
      <c r="N14" s="13"/>
      <c r="O14" s="13"/>
      <c r="P14" s="13"/>
    </row>
    <row r="15" spans="1:16" ht="20.25" customHeight="1" x14ac:dyDescent="0.25">
      <c r="A15" s="24">
        <v>44153</v>
      </c>
      <c r="B15" s="8" t="s">
        <v>28</v>
      </c>
      <c r="C15" s="9" t="s">
        <v>38</v>
      </c>
      <c r="D15" s="10">
        <v>30321</v>
      </c>
      <c r="E15" s="11">
        <f>6666+13332</f>
        <v>19998</v>
      </c>
      <c r="F15" s="11"/>
      <c r="G15" s="11"/>
      <c r="H15" s="11"/>
      <c r="I15" s="11">
        <v>5698</v>
      </c>
      <c r="J15" s="11"/>
      <c r="K15" s="11">
        <f t="shared" si="4"/>
        <v>25696</v>
      </c>
      <c r="L15" s="11">
        <f t="shared" si="8"/>
        <v>1927</v>
      </c>
      <c r="M15" s="12">
        <f t="shared" ref="M15:M18" si="9">+D15-L15</f>
        <v>28394</v>
      </c>
      <c r="N15" s="13"/>
      <c r="O15" s="13"/>
      <c r="P15" s="13"/>
    </row>
    <row r="16" spans="1:16" ht="20.25" customHeight="1" x14ac:dyDescent="0.25">
      <c r="A16" s="24">
        <v>44157</v>
      </c>
      <c r="B16" s="8" t="s">
        <v>28</v>
      </c>
      <c r="C16" s="9" t="s">
        <v>39</v>
      </c>
      <c r="D16" s="10">
        <v>77118</v>
      </c>
      <c r="E16" s="11">
        <v>45000</v>
      </c>
      <c r="F16" s="11">
        <v>1700</v>
      </c>
      <c r="G16" s="11">
        <v>4500</v>
      </c>
      <c r="H16" s="11"/>
      <c r="I16" s="11">
        <v>154</v>
      </c>
      <c r="J16" s="11">
        <v>14000</v>
      </c>
      <c r="K16" s="11">
        <f t="shared" ref="K16" si="10">SUM(E16:J16)</f>
        <v>65354</v>
      </c>
      <c r="L16" s="11">
        <f t="shared" si="8"/>
        <v>4902</v>
      </c>
      <c r="M16" s="12">
        <f t="shared" si="9"/>
        <v>72216</v>
      </c>
      <c r="N16" s="13"/>
      <c r="O16" s="13"/>
      <c r="P16" s="13"/>
    </row>
    <row r="17" spans="1:16" ht="20.25" customHeight="1" x14ac:dyDescent="0.25">
      <c r="A17" s="24">
        <v>44158</v>
      </c>
      <c r="B17" s="8" t="s">
        <v>28</v>
      </c>
      <c r="C17" s="9" t="s">
        <v>40</v>
      </c>
      <c r="D17" s="10">
        <v>83426</v>
      </c>
      <c r="E17" s="11">
        <v>45000</v>
      </c>
      <c r="F17" s="11">
        <v>1700</v>
      </c>
      <c r="G17" s="11"/>
      <c r="H17" s="11"/>
      <c r="I17" s="11"/>
      <c r="J17" s="11">
        <v>24000</v>
      </c>
      <c r="K17" s="11">
        <f t="shared" ref="K17:K18" si="11">SUM(E17:J17)</f>
        <v>70700</v>
      </c>
      <c r="L17" s="11">
        <f t="shared" si="8"/>
        <v>5303</v>
      </c>
      <c r="M17" s="12">
        <f t="shared" si="9"/>
        <v>78123</v>
      </c>
      <c r="N17" s="13"/>
      <c r="O17" s="13"/>
      <c r="P17" s="13"/>
    </row>
    <row r="18" spans="1:16" ht="20.25" customHeight="1" x14ac:dyDescent="0.25">
      <c r="A18" s="24">
        <v>44158</v>
      </c>
      <c r="B18" s="8" t="s">
        <v>28</v>
      </c>
      <c r="C18" s="9" t="s">
        <v>42</v>
      </c>
      <c r="D18" s="10">
        <v>5166</v>
      </c>
      <c r="E18" s="11"/>
      <c r="F18" s="11"/>
      <c r="G18" s="11"/>
      <c r="H18" s="11"/>
      <c r="I18" s="11">
        <v>4378</v>
      </c>
      <c r="J18" s="11">
        <v>0</v>
      </c>
      <c r="K18" s="11">
        <f t="shared" si="11"/>
        <v>4378</v>
      </c>
      <c r="L18" s="11">
        <f t="shared" si="8"/>
        <v>328</v>
      </c>
      <c r="M18" s="12">
        <f t="shared" si="9"/>
        <v>4838</v>
      </c>
      <c r="N18" s="13"/>
      <c r="O18" s="13"/>
      <c r="P18" s="13"/>
    </row>
    <row r="19" spans="1:16" ht="20.25" customHeight="1" x14ac:dyDescent="0.25">
      <c r="A19" s="24">
        <v>44159</v>
      </c>
      <c r="B19" s="8" t="s">
        <v>28</v>
      </c>
      <c r="C19" s="9" t="s">
        <v>43</v>
      </c>
      <c r="D19" s="10">
        <v>89135</v>
      </c>
      <c r="E19" s="11">
        <v>45000</v>
      </c>
      <c r="F19" s="11">
        <v>1700</v>
      </c>
      <c r="G19" s="11"/>
      <c r="H19" s="11"/>
      <c r="I19" s="11">
        <v>2838</v>
      </c>
      <c r="J19" s="11">
        <v>26000</v>
      </c>
      <c r="K19" s="11">
        <f t="shared" ref="K19" si="12">SUM(E19:J19)</f>
        <v>75538</v>
      </c>
      <c r="L19" s="11">
        <f t="shared" ref="L19" si="13">ROUND(K19*7.5%,0)</f>
        <v>5665</v>
      </c>
      <c r="M19" s="12">
        <f t="shared" ref="M19" si="14">+D19-L19</f>
        <v>83470</v>
      </c>
      <c r="N19" s="13"/>
      <c r="O19" s="13"/>
      <c r="P19" s="13"/>
    </row>
    <row r="20" spans="1:16" ht="20.25" customHeight="1" x14ac:dyDescent="0.25">
      <c r="A20" s="24">
        <v>44160</v>
      </c>
      <c r="B20" s="8" t="s">
        <v>28</v>
      </c>
      <c r="C20" s="9" t="s">
        <v>44</v>
      </c>
      <c r="D20" s="10">
        <v>83426</v>
      </c>
      <c r="E20" s="11">
        <v>45000</v>
      </c>
      <c r="F20" s="11">
        <v>1700</v>
      </c>
      <c r="G20" s="11"/>
      <c r="H20" s="11"/>
      <c r="I20" s="11"/>
      <c r="J20" s="11">
        <v>24000</v>
      </c>
      <c r="K20" s="11">
        <f t="shared" ref="K20" si="15">SUM(E20:J20)</f>
        <v>70700</v>
      </c>
      <c r="L20" s="11">
        <f t="shared" ref="L20:L22" si="16">ROUND(K20*7.5%,0)</f>
        <v>5303</v>
      </c>
      <c r="M20" s="12">
        <f t="shared" ref="M20:M22" si="17">+D20-L20</f>
        <v>78123</v>
      </c>
      <c r="N20" s="13"/>
      <c r="O20" s="13"/>
      <c r="P20" s="13"/>
    </row>
    <row r="21" spans="1:16" ht="20.25" customHeight="1" x14ac:dyDescent="0.25">
      <c r="A21" s="24">
        <v>44160</v>
      </c>
      <c r="B21" s="8" t="s">
        <v>28</v>
      </c>
      <c r="C21" s="9" t="s">
        <v>46</v>
      </c>
      <c r="D21" s="10">
        <v>6308</v>
      </c>
      <c r="E21" s="11"/>
      <c r="F21" s="11"/>
      <c r="G21" s="11"/>
      <c r="H21" s="11"/>
      <c r="I21" s="11">
        <v>5346</v>
      </c>
      <c r="J21" s="11"/>
      <c r="K21" s="11">
        <f t="shared" ref="K21" si="18">SUM(E21:J21)</f>
        <v>5346</v>
      </c>
      <c r="L21" s="11">
        <f t="shared" ref="L21" si="19">ROUND(K21*7.5%,0)</f>
        <v>401</v>
      </c>
      <c r="M21" s="12">
        <f t="shared" ref="M21" si="20">+D21-L21</f>
        <v>5907</v>
      </c>
      <c r="N21" s="13"/>
      <c r="O21" s="13"/>
      <c r="P21" s="13"/>
    </row>
    <row r="22" spans="1:16" ht="20.25" customHeight="1" x14ac:dyDescent="0.25">
      <c r="A22" s="24">
        <v>44162</v>
      </c>
      <c r="B22" s="8" t="s">
        <v>28</v>
      </c>
      <c r="C22" s="9" t="s">
        <v>45</v>
      </c>
      <c r="D22" s="10">
        <v>64546</v>
      </c>
      <c r="E22" s="11">
        <v>45000</v>
      </c>
      <c r="F22" s="11">
        <v>1700</v>
      </c>
      <c r="G22" s="11"/>
      <c r="H22" s="11"/>
      <c r="I22" s="11"/>
      <c r="J22" s="11">
        <v>8000</v>
      </c>
      <c r="K22" s="11">
        <f t="shared" ref="K22" si="21">SUM(E22:J22)</f>
        <v>54700</v>
      </c>
      <c r="L22" s="11">
        <f t="shared" si="16"/>
        <v>4103</v>
      </c>
      <c r="M22" s="12">
        <f t="shared" si="17"/>
        <v>60443</v>
      </c>
      <c r="N22" s="13"/>
      <c r="O22" s="13"/>
      <c r="P22" s="13"/>
    </row>
    <row r="23" spans="1:16" ht="20.25" customHeight="1" x14ac:dyDescent="0.25">
      <c r="A23" s="24">
        <v>44162</v>
      </c>
      <c r="B23" s="8" t="s">
        <v>28</v>
      </c>
      <c r="C23" s="9" t="s">
        <v>47</v>
      </c>
      <c r="D23" s="10">
        <v>8614</v>
      </c>
      <c r="E23" s="11"/>
      <c r="F23" s="11"/>
      <c r="G23" s="11"/>
      <c r="H23" s="11"/>
      <c r="I23" s="11">
        <v>3300</v>
      </c>
      <c r="J23" s="11">
        <v>4000</v>
      </c>
      <c r="K23" s="11">
        <f t="shared" ref="K23:K26" si="22">SUM(E23:J23)</f>
        <v>7300</v>
      </c>
      <c r="L23" s="11">
        <f t="shared" ref="L23:L26" si="23">ROUND(K23*7.5%,0)</f>
        <v>548</v>
      </c>
      <c r="M23" s="12">
        <f t="shared" ref="M23:M26" si="24">+D23-L23</f>
        <v>8066</v>
      </c>
      <c r="N23" s="13"/>
      <c r="O23" s="13"/>
      <c r="P23" s="13"/>
    </row>
    <row r="24" spans="1:16" ht="20.25" customHeight="1" x14ac:dyDescent="0.25">
      <c r="A24" s="24">
        <v>44163</v>
      </c>
      <c r="B24" s="8" t="s">
        <v>28</v>
      </c>
      <c r="C24" s="9" t="s">
        <v>48</v>
      </c>
      <c r="D24" s="10">
        <v>18526</v>
      </c>
      <c r="E24" s="11">
        <v>14000</v>
      </c>
      <c r="F24" s="11">
        <v>1700</v>
      </c>
      <c r="G24" s="11"/>
      <c r="H24" s="11"/>
      <c r="I24" s="11"/>
      <c r="J24" s="11"/>
      <c r="K24" s="11">
        <f t="shared" si="22"/>
        <v>15700</v>
      </c>
      <c r="L24" s="11">
        <f t="shared" si="23"/>
        <v>1178</v>
      </c>
      <c r="M24" s="12">
        <f t="shared" si="24"/>
        <v>17348</v>
      </c>
      <c r="N24" s="13"/>
      <c r="O24" s="13"/>
      <c r="P24" s="13"/>
    </row>
    <row r="25" spans="1:16" ht="20.25" customHeight="1" x14ac:dyDescent="0.25">
      <c r="A25" s="24">
        <v>44163</v>
      </c>
      <c r="B25" s="8" t="s">
        <v>28</v>
      </c>
      <c r="C25" s="9" t="s">
        <v>49</v>
      </c>
      <c r="D25" s="10">
        <v>66906</v>
      </c>
      <c r="E25" s="11">
        <v>45000</v>
      </c>
      <c r="F25" s="11">
        <v>1700</v>
      </c>
      <c r="G25" s="11"/>
      <c r="H25" s="11"/>
      <c r="I25" s="11"/>
      <c r="J25" s="11">
        <v>10000</v>
      </c>
      <c r="K25" s="11">
        <f t="shared" ref="K25" si="25">SUM(E25:J25)</f>
        <v>56700</v>
      </c>
      <c r="L25" s="11">
        <f t="shared" ref="L25" si="26">ROUND(K25*7.5%,0)</f>
        <v>4253</v>
      </c>
      <c r="M25" s="12">
        <f t="shared" ref="M25" si="27">+D25-L25</f>
        <v>62653</v>
      </c>
      <c r="N25" s="13"/>
      <c r="O25" s="13"/>
      <c r="P25" s="13"/>
    </row>
    <row r="26" spans="1:16" ht="20.25" customHeight="1" thickBot="1" x14ac:dyDescent="0.3">
      <c r="A26" s="24">
        <v>44179</v>
      </c>
      <c r="B26" s="8" t="s">
        <v>28</v>
      </c>
      <c r="C26" s="9" t="s">
        <v>53</v>
      </c>
      <c r="D26" s="10">
        <v>75166</v>
      </c>
      <c r="E26" s="11">
        <v>40000</v>
      </c>
      <c r="F26" s="11">
        <v>1700</v>
      </c>
      <c r="G26" s="11"/>
      <c r="H26" s="11"/>
      <c r="I26" s="11"/>
      <c r="J26" s="11">
        <v>22000</v>
      </c>
      <c r="K26" s="11">
        <f t="shared" si="22"/>
        <v>63700</v>
      </c>
      <c r="L26" s="11">
        <f t="shared" si="23"/>
        <v>4778</v>
      </c>
      <c r="M26" s="12">
        <f t="shared" si="24"/>
        <v>70388</v>
      </c>
      <c r="N26" s="13"/>
      <c r="O26" s="13"/>
      <c r="P26" s="13"/>
    </row>
    <row r="27" spans="1:16" ht="20.25" customHeight="1" thickBot="1" x14ac:dyDescent="0.3">
      <c r="A27" s="41" t="s">
        <v>6</v>
      </c>
      <c r="B27" s="42"/>
      <c r="C27" s="42"/>
      <c r="D27" s="14">
        <f t="shared" ref="D27:K27" si="28">SUM(D8:D26)</f>
        <v>1102965</v>
      </c>
      <c r="E27" s="14">
        <f t="shared" si="28"/>
        <v>666498</v>
      </c>
      <c r="F27" s="14">
        <f t="shared" si="28"/>
        <v>27100</v>
      </c>
      <c r="G27" s="14">
        <f t="shared" si="28"/>
        <v>4500</v>
      </c>
      <c r="H27" s="14">
        <f t="shared" si="28"/>
        <v>0</v>
      </c>
      <c r="I27" s="14">
        <f t="shared" si="28"/>
        <v>24618</v>
      </c>
      <c r="J27" s="14">
        <f t="shared" si="28"/>
        <v>212000</v>
      </c>
      <c r="K27" s="14">
        <f t="shared" si="28"/>
        <v>934716</v>
      </c>
      <c r="L27" s="14">
        <f t="shared" ref="L27" si="29">SUM(L8:L26)</f>
        <v>70109</v>
      </c>
      <c r="M27" s="15">
        <f>SUM(M8:M26)</f>
        <v>1032856</v>
      </c>
      <c r="N27" s="3" t="s">
        <v>19</v>
      </c>
      <c r="O27" s="13"/>
      <c r="P27" s="13"/>
    </row>
    <row r="28" spans="1:16" ht="20.25" customHeight="1" x14ac:dyDescent="0.25">
      <c r="A28" s="43" t="s">
        <v>17</v>
      </c>
      <c r="B28" s="44"/>
      <c r="C28" s="45"/>
      <c r="D28" s="16">
        <v>44145</v>
      </c>
      <c r="E28" s="17"/>
      <c r="F28" s="17"/>
      <c r="G28" s="17"/>
      <c r="H28" s="17"/>
      <c r="I28" s="17"/>
      <c r="J28" s="17"/>
      <c r="K28" s="17" t="s">
        <v>18</v>
      </c>
      <c r="L28" s="17">
        <v>0</v>
      </c>
      <c r="M28" s="18">
        <v>-65000</v>
      </c>
      <c r="N28" s="38" t="s">
        <v>15</v>
      </c>
      <c r="P28" s="13"/>
    </row>
    <row r="29" spans="1:16" ht="20.25" customHeight="1" x14ac:dyDescent="0.25">
      <c r="A29" s="46"/>
      <c r="B29" s="47"/>
      <c r="C29" s="48"/>
      <c r="D29" s="16">
        <v>44147</v>
      </c>
      <c r="E29" s="17"/>
      <c r="F29" s="17"/>
      <c r="G29" s="17"/>
      <c r="H29" s="17"/>
      <c r="I29" s="17"/>
      <c r="J29" s="17"/>
      <c r="K29" s="17" t="s">
        <v>18</v>
      </c>
      <c r="L29" s="17">
        <v>0</v>
      </c>
      <c r="M29" s="18">
        <v>-104065</v>
      </c>
      <c r="N29" s="38"/>
      <c r="P29" s="13"/>
    </row>
    <row r="30" spans="1:16" ht="20.25" customHeight="1" x14ac:dyDescent="0.25">
      <c r="A30" s="46"/>
      <c r="B30" s="47"/>
      <c r="C30" s="48"/>
      <c r="D30" s="33">
        <v>44148</v>
      </c>
      <c r="E30" s="34"/>
      <c r="F30" s="34"/>
      <c r="G30" s="34"/>
      <c r="H30" s="34"/>
      <c r="I30" s="34"/>
      <c r="J30" s="34"/>
      <c r="K30" s="34" t="s">
        <v>41</v>
      </c>
      <c r="L30" s="34">
        <v>0</v>
      </c>
      <c r="M30" s="35">
        <v>-18100</v>
      </c>
      <c r="N30" s="38"/>
      <c r="P30" s="13"/>
    </row>
    <row r="31" spans="1:16" ht="20.25" customHeight="1" x14ac:dyDescent="0.25">
      <c r="A31" s="46"/>
      <c r="B31" s="47"/>
      <c r="C31" s="48"/>
      <c r="D31" s="16">
        <v>44153</v>
      </c>
      <c r="E31" s="17"/>
      <c r="F31" s="17"/>
      <c r="G31" s="17"/>
      <c r="H31" s="17"/>
      <c r="I31" s="17"/>
      <c r="J31" s="17"/>
      <c r="K31" s="17" t="s">
        <v>18</v>
      </c>
      <c r="L31" s="17">
        <v>0</v>
      </c>
      <c r="M31" s="18">
        <v>-166500</v>
      </c>
      <c r="N31" s="38"/>
      <c r="P31" s="13"/>
    </row>
    <row r="32" spans="1:16" ht="20.25" customHeight="1" x14ac:dyDescent="0.25">
      <c r="A32" s="46"/>
      <c r="B32" s="47"/>
      <c r="C32" s="48"/>
      <c r="D32" s="16">
        <v>44158</v>
      </c>
      <c r="E32" s="17"/>
      <c r="F32" s="17"/>
      <c r="G32" s="17"/>
      <c r="H32" s="17"/>
      <c r="I32" s="17"/>
      <c r="J32" s="17"/>
      <c r="K32" s="17" t="s">
        <v>18</v>
      </c>
      <c r="L32" s="17">
        <v>0</v>
      </c>
      <c r="M32" s="18">
        <v>-179900</v>
      </c>
      <c r="N32" s="38"/>
      <c r="P32" s="13"/>
    </row>
    <row r="33" spans="1:16" ht="20.25" customHeight="1" x14ac:dyDescent="0.25">
      <c r="A33" s="46"/>
      <c r="B33" s="47"/>
      <c r="C33" s="48"/>
      <c r="D33" s="16">
        <v>44161</v>
      </c>
      <c r="E33" s="17"/>
      <c r="F33" s="17"/>
      <c r="G33" s="17"/>
      <c r="H33" s="17"/>
      <c r="I33" s="17"/>
      <c r="J33" s="17"/>
      <c r="K33" s="17" t="s">
        <v>18</v>
      </c>
      <c r="L33" s="17">
        <v>0</v>
      </c>
      <c r="M33" s="18">
        <v>-337410</v>
      </c>
      <c r="N33" s="38"/>
      <c r="P33" s="13"/>
    </row>
    <row r="34" spans="1:16" ht="20.25" customHeight="1" thickBot="1" x14ac:dyDescent="0.3">
      <c r="A34" s="46"/>
      <c r="B34" s="47"/>
      <c r="C34" s="48"/>
      <c r="D34" s="16">
        <v>44163</v>
      </c>
      <c r="E34" s="17"/>
      <c r="F34" s="17"/>
      <c r="G34" s="17"/>
      <c r="H34" s="17"/>
      <c r="I34" s="17"/>
      <c r="J34" s="17"/>
      <c r="K34" s="17" t="s">
        <v>50</v>
      </c>
      <c r="L34" s="36" t="s">
        <v>51</v>
      </c>
      <c r="M34" s="18">
        <v>-221111</v>
      </c>
      <c r="N34" s="38"/>
      <c r="P34" s="13"/>
    </row>
    <row r="35" spans="1:16" ht="20.25" customHeight="1" thickBot="1" x14ac:dyDescent="0.3">
      <c r="A35" s="46"/>
      <c r="B35" s="47"/>
      <c r="C35" s="48"/>
      <c r="D35" s="52" t="s">
        <v>10</v>
      </c>
      <c r="E35" s="53"/>
      <c r="F35" s="53"/>
      <c r="G35" s="53"/>
      <c r="H35" s="53"/>
      <c r="I35" s="53"/>
      <c r="J35" s="53"/>
      <c r="K35" s="53"/>
      <c r="L35" s="54"/>
      <c r="M35" s="19">
        <f>SUM(M28:M34)</f>
        <v>-1092086</v>
      </c>
      <c r="N35" s="38"/>
      <c r="O35" s="13"/>
      <c r="P35" s="13"/>
    </row>
    <row r="36" spans="1:16" ht="20.25" customHeight="1" thickBot="1" x14ac:dyDescent="0.3">
      <c r="A36" s="46"/>
      <c r="B36" s="47"/>
      <c r="C36" s="48"/>
      <c r="D36" s="20"/>
      <c r="E36" s="21"/>
      <c r="F36" s="21"/>
      <c r="G36" s="21"/>
      <c r="H36" s="21"/>
      <c r="I36" s="21"/>
      <c r="J36" s="21"/>
      <c r="K36" s="21"/>
      <c r="L36" s="21"/>
      <c r="M36" s="22"/>
      <c r="O36" s="13"/>
    </row>
    <row r="37" spans="1:16" ht="20.25" customHeight="1" thickBot="1" x14ac:dyDescent="0.3">
      <c r="A37" s="49"/>
      <c r="B37" s="50"/>
      <c r="C37" s="51"/>
      <c r="D37" s="52" t="s">
        <v>52</v>
      </c>
      <c r="E37" s="53"/>
      <c r="F37" s="53"/>
      <c r="G37" s="53"/>
      <c r="H37" s="53"/>
      <c r="I37" s="53"/>
      <c r="J37" s="53"/>
      <c r="K37" s="53"/>
      <c r="L37" s="54"/>
      <c r="M37" s="19">
        <f>+M27+M35</f>
        <v>-59230</v>
      </c>
      <c r="N37" s="1" t="s">
        <v>16</v>
      </c>
    </row>
    <row r="38" spans="1:16" ht="18" customHeight="1" x14ac:dyDescent="0.25">
      <c r="A38" s="32"/>
      <c r="B38" s="32"/>
    </row>
    <row r="39" spans="1:16" x14ac:dyDescent="0.25">
      <c r="M39" s="13"/>
    </row>
    <row r="40" spans="1:16" x14ac:dyDescent="0.25">
      <c r="A40" s="29" t="s">
        <v>26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30"/>
    </row>
    <row r="41" spans="1:16" x14ac:dyDescent="0.25">
      <c r="A41" s="29" t="s">
        <v>25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6" x14ac:dyDescent="0.25">
      <c r="A42" s="29" t="s">
        <v>27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</sheetData>
  <mergeCells count="9">
    <mergeCell ref="C1:D1"/>
    <mergeCell ref="N28:N35"/>
    <mergeCell ref="A2:B2"/>
    <mergeCell ref="A3:B3"/>
    <mergeCell ref="A4:B4"/>
    <mergeCell ref="A27:C27"/>
    <mergeCell ref="A28:C37"/>
    <mergeCell ref="D37:L37"/>
    <mergeCell ref="D35:L35"/>
  </mergeCells>
  <pageMargins left="0.39370078740157483" right="0" top="0.19685039370078741" bottom="0" header="0.31496062992125984" footer="0.31496062992125984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10 Media Private Limited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ELLORA</dc:creator>
  <cp:lastModifiedBy>User</cp:lastModifiedBy>
  <cp:lastPrinted>2020-11-28T08:54:54Z</cp:lastPrinted>
  <dcterms:created xsi:type="dcterms:W3CDTF">2020-03-09T06:42:42Z</dcterms:created>
  <dcterms:modified xsi:type="dcterms:W3CDTF">2021-01-26T12:22:56Z</dcterms:modified>
</cp:coreProperties>
</file>