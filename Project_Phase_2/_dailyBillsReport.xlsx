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s\true_ellora\phase_2\"/>
    </mc:Choice>
  </mc:AlternateContent>
  <bookViews>
    <workbookView xWindow="0" yWindow="0" windowWidth="16785" windowHeight="7830" activeTab="3"/>
  </bookViews>
  <sheets>
    <sheet name="Sheet1" sheetId="1" r:id="rId1"/>
    <sheet name="Sheet2" sheetId="2" r:id="rId2"/>
    <sheet name="Sheet4" sheetId="4" r:id="rId3"/>
    <sheet name="Sheet3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" i="4" l="1"/>
  <c r="AB3" i="4"/>
  <c r="AB4" i="4"/>
  <c r="AB1" i="4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2" i="2"/>
  <c r="AD22" i="1" l="1"/>
  <c r="AD2" i="1" l="1"/>
  <c r="AD6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1" i="1"/>
</calcChain>
</file>

<file path=xl/sharedStrings.xml><?xml version="1.0" encoding="utf-8"?>
<sst xmlns="http://schemas.openxmlformats.org/spreadsheetml/2006/main" count="449" uniqueCount="135">
  <si>
    <t>B-W-CA-20201210-D8</t>
  </si>
  <si>
    <t>WEB SERIES</t>
  </si>
  <si>
    <t>Singro Media Innovations Private Limited (-)</t>
  </si>
  <si>
    <t>Colonial Architecture Set</t>
  </si>
  <si>
    <t>'692</t>
  </si>
  <si>
    <t>B-W-OF-20201210-D10</t>
  </si>
  <si>
    <t>Corporate Office</t>
  </si>
  <si>
    <t>'693</t>
  </si>
  <si>
    <t>B-W-CA-20210102-D3</t>
  </si>
  <si>
    <t>Balaji Telefilms Ltd. (-)</t>
  </si>
  <si>
    <t>'697</t>
  </si>
  <si>
    <t>B-P-PG-20210102-D1</t>
  </si>
  <si>
    <t>PROMO</t>
  </si>
  <si>
    <t>The Rumor Projects Worldwide Private Limited (-)</t>
  </si>
  <si>
    <t>Parsi Bungalow</t>
  </si>
  <si>
    <t>'696,698</t>
  </si>
  <si>
    <t>'695</t>
  </si>
  <si>
    <t>'701</t>
  </si>
  <si>
    <t>B-W-HS-20201224-D2</t>
  </si>
  <si>
    <t>Red Gold (-)</t>
  </si>
  <si>
    <t>New Hospital</t>
  </si>
  <si>
    <t>'699</t>
  </si>
  <si>
    <t>'700</t>
  </si>
  <si>
    <t>'704,706</t>
  </si>
  <si>
    <t>'702,707</t>
  </si>
  <si>
    <t>'705</t>
  </si>
  <si>
    <t>'709</t>
  </si>
  <si>
    <t>B-W-HS-20210104-D1</t>
  </si>
  <si>
    <t>'703</t>
  </si>
  <si>
    <t>B-T-HS-20210107-D2</t>
  </si>
  <si>
    <t>TV</t>
  </si>
  <si>
    <t>'715</t>
  </si>
  <si>
    <t>B-W-CA-20201231-D2</t>
  </si>
  <si>
    <t>Kangra Talkies Private Limited (-)</t>
  </si>
  <si>
    <t>'716</t>
  </si>
  <si>
    <t>'717</t>
  </si>
  <si>
    <t>'718,720</t>
  </si>
  <si>
    <t>B-F-NH-20210106-D5</t>
  </si>
  <si>
    <t>FILM / AD</t>
  </si>
  <si>
    <t>Off Road Films Private Limited (-)</t>
  </si>
  <si>
    <t>New House</t>
  </si>
  <si>
    <t>'719</t>
  </si>
  <si>
    <t>B-W-HS-20210108-D1</t>
  </si>
  <si>
    <t>'722,723</t>
  </si>
  <si>
    <t>'724</t>
  </si>
  <si>
    <t>B-F-CA-20210105-D2</t>
  </si>
  <si>
    <t>HR PICTURES (-)</t>
  </si>
  <si>
    <t>'728</t>
  </si>
  <si>
    <t>'726</t>
  </si>
  <si>
    <t>B-P-MB-20210111-D5</t>
  </si>
  <si>
    <t>Viacom18 Media Pvt. Ltd. (-)</t>
  </si>
  <si>
    <t>Modern  Bungalow</t>
  </si>
  <si>
    <t>'</t>
  </si>
  <si>
    <t>B-P-SV-20210110-D1</t>
  </si>
  <si>
    <t>Black Pepper Production (-)</t>
  </si>
  <si>
    <t>Seth Villa</t>
  </si>
  <si>
    <t>'725,729</t>
  </si>
  <si>
    <t>'730</t>
  </si>
  <si>
    <t>'727</t>
  </si>
  <si>
    <t>'732</t>
  </si>
  <si>
    <t>'731</t>
  </si>
  <si>
    <t>'730,739</t>
  </si>
  <si>
    <t>'736</t>
  </si>
  <si>
    <t>'741,743</t>
  </si>
  <si>
    <t>B-W-CA-20210111-D2</t>
  </si>
  <si>
    <t>Ding Entertainment Pvt Ltd (-)</t>
  </si>
  <si>
    <t>'744</t>
  </si>
  <si>
    <t>B-W-HS-20210114-D1</t>
  </si>
  <si>
    <t>'745</t>
  </si>
  <si>
    <t>'742</t>
  </si>
  <si>
    <t>'749</t>
  </si>
  <si>
    <t>B-W-HS-20210111-D2</t>
  </si>
  <si>
    <t>'750</t>
  </si>
  <si>
    <t>B-P-SV-20210113-D2</t>
  </si>
  <si>
    <t>Aena Productions (-)</t>
  </si>
  <si>
    <t>'752</t>
  </si>
  <si>
    <t>B-F-CA-20210114-D1</t>
  </si>
  <si>
    <t>A Glass of Whisky Production (-)</t>
  </si>
  <si>
    <t>'756</t>
  </si>
  <si>
    <t>'753</t>
  </si>
  <si>
    <t>B-F-PG-20210116-D1</t>
  </si>
  <si>
    <t>Ashoke Pandit Productions (-)</t>
  </si>
  <si>
    <t>'757</t>
  </si>
  <si>
    <t>'754</t>
  </si>
  <si>
    <t>---</t>
  </si>
  <si>
    <t>1,85,000.00</t>
  </si>
  <si>
    <t>1,88,500.00</t>
  </si>
  <si>
    <t>1,90,500.00</t>
  </si>
  <si>
    <t>1,27,500.00</t>
  </si>
  <si>
    <t>1,32,100.00</t>
  </si>
  <si>
    <t>1,38,100.00</t>
  </si>
  <si>
    <t>2,85,833.00</t>
  </si>
  <si>
    <t>2,90,833.00</t>
  </si>
  <si>
    <t>2,92,833.00</t>
  </si>
  <si>
    <t>2,72,417.00</t>
  </si>
  <si>
    <t>20210117114309</t>
  </si>
  <si>
    <t>20210117114316</t>
  </si>
  <si>
    <t>20210117114323</t>
  </si>
  <si>
    <t>20210117114719</t>
  </si>
  <si>
    <t>20210117114739</t>
  </si>
  <si>
    <t>20210117114748</t>
  </si>
  <si>
    <t>20210117114926</t>
  </si>
  <si>
    <t>20210117114934</t>
  </si>
  <si>
    <t>20210117114941</t>
  </si>
  <si>
    <t>20210117114950</t>
  </si>
  <si>
    <t>20210117115200</t>
  </si>
  <si>
    <t>20210117115207</t>
  </si>
  <si>
    <t>20210117115214</t>
  </si>
  <si>
    <t>20210117115558</t>
  </si>
  <si>
    <t>20210117115610</t>
  </si>
  <si>
    <t>20210117115618</t>
  </si>
  <si>
    <t>20210117115631</t>
  </si>
  <si>
    <t>20210117115904</t>
  </si>
  <si>
    <t>20210117115935</t>
  </si>
  <si>
    <t>20210117120717</t>
  </si>
  <si>
    <t>20210117120724</t>
  </si>
  <si>
    <t>20210117121110</t>
  </si>
  <si>
    <t>20210117121147</t>
  </si>
  <si>
    <t>20210117121155</t>
  </si>
  <si>
    <t>20210117121210</t>
  </si>
  <si>
    <t>20210117121234</t>
  </si>
  <si>
    <t>20210117121310</t>
  </si>
  <si>
    <t>20210117122246</t>
  </si>
  <si>
    <t>20210117122335</t>
  </si>
  <si>
    <t>20210117122354</t>
  </si>
  <si>
    <t>20210117122407</t>
  </si>
  <si>
    <t>20210117122422</t>
  </si>
  <si>
    <t>20210117122649</t>
  </si>
  <si>
    <t>20210117122717</t>
  </si>
  <si>
    <t>20210117122821</t>
  </si>
  <si>
    <t>20210117122832</t>
  </si>
  <si>
    <t>20210117122839</t>
  </si>
  <si>
    <t>20210117122845</t>
  </si>
  <si>
    <t>20210117122958</t>
  </si>
  <si>
    <t>20210117125319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</si>
</sst>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4" fontId="0" fillId="0" borderId="0" xfId="0" applyNumberFormat="1"/>
    <xf numFmtId="22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>
      <selection activeCell="A2" sqref="A2:XFD2"/>
    </sheetView>
  </sheetViews>
  <sheetFormatPr defaultRowHeight="15" x14ac:dyDescent="0.25"/>
  <cols>
    <col min="13" max="13" width="10.7109375" bestFit="1" customWidth="1"/>
    <col min="16" max="16" width="15.85546875" bestFit="1" customWidth="1"/>
  </cols>
  <sheetData>
    <row r="1" spans="1:30" x14ac:dyDescent="0.25">
      <c r="A1">
        <v>4908</v>
      </c>
      <c r="B1" t="s">
        <v>0</v>
      </c>
      <c r="C1" s="1">
        <v>44197</v>
      </c>
      <c r="D1">
        <v>286</v>
      </c>
      <c r="E1" t="s">
        <v>1</v>
      </c>
      <c r="F1" t="s">
        <v>2</v>
      </c>
      <c r="G1" t="s">
        <v>3</v>
      </c>
      <c r="H1">
        <v>35152</v>
      </c>
      <c r="I1">
        <v>0</v>
      </c>
      <c r="J1">
        <v>6327</v>
      </c>
      <c r="K1">
        <v>41479</v>
      </c>
      <c r="L1" t="s">
        <v>4</v>
      </c>
      <c r="M1" s="2">
        <v>44197</v>
      </c>
      <c r="O1">
        <v>4908</v>
      </c>
      <c r="P1" s="3">
        <v>44197</v>
      </c>
      <c r="S1">
        <v>32500</v>
      </c>
      <c r="T1">
        <v>2300</v>
      </c>
      <c r="V1">
        <v>352</v>
      </c>
      <c r="AA1">
        <v>35152</v>
      </c>
      <c r="AB1">
        <f>AA1-H1</f>
        <v>0</v>
      </c>
    </row>
    <row r="2" spans="1:30" x14ac:dyDescent="0.25">
      <c r="A2">
        <v>5063</v>
      </c>
      <c r="B2" t="s">
        <v>5</v>
      </c>
      <c r="C2" s="1">
        <v>44197</v>
      </c>
      <c r="D2">
        <v>285</v>
      </c>
      <c r="E2" t="s">
        <v>1</v>
      </c>
      <c r="F2" t="s">
        <v>2</v>
      </c>
      <c r="G2" t="s">
        <v>6</v>
      </c>
      <c r="H2">
        <v>84514</v>
      </c>
      <c r="I2">
        <v>0</v>
      </c>
      <c r="J2">
        <v>15213</v>
      </c>
      <c r="K2">
        <v>99727</v>
      </c>
      <c r="L2" t="s">
        <v>7</v>
      </c>
      <c r="M2" s="2">
        <v>44197</v>
      </c>
      <c r="O2">
        <v>5063</v>
      </c>
      <c r="P2" s="3">
        <v>44197</v>
      </c>
      <c r="Q2">
        <v>65000</v>
      </c>
      <c r="T2">
        <v>2300</v>
      </c>
      <c r="U2">
        <v>10000</v>
      </c>
      <c r="V2">
        <v>770</v>
      </c>
      <c r="X2">
        <v>2000</v>
      </c>
      <c r="AA2">
        <v>80070</v>
      </c>
      <c r="AB2">
        <f t="shared" ref="AB2:AB27" si="0">AA2-H2</f>
        <v>-4444</v>
      </c>
      <c r="AD2">
        <f>Q2/12</f>
        <v>5416.666666666667</v>
      </c>
    </row>
    <row r="3" spans="1:30" x14ac:dyDescent="0.25">
      <c r="A3">
        <v>4909</v>
      </c>
      <c r="B3" t="s">
        <v>8</v>
      </c>
      <c r="C3" s="1">
        <v>44198</v>
      </c>
      <c r="D3">
        <v>291</v>
      </c>
      <c r="E3" t="s">
        <v>1</v>
      </c>
      <c r="F3" t="s">
        <v>9</v>
      </c>
      <c r="G3" t="s">
        <v>3</v>
      </c>
      <c r="H3">
        <v>34910</v>
      </c>
      <c r="I3">
        <v>0</v>
      </c>
      <c r="J3">
        <v>6284</v>
      </c>
      <c r="K3">
        <v>41194</v>
      </c>
      <c r="L3" t="s">
        <v>10</v>
      </c>
      <c r="M3" s="2">
        <v>44198</v>
      </c>
      <c r="O3">
        <v>4909</v>
      </c>
      <c r="P3" s="3">
        <v>44198</v>
      </c>
      <c r="R3">
        <v>32500</v>
      </c>
      <c r="T3">
        <v>2300</v>
      </c>
      <c r="V3">
        <v>110</v>
      </c>
      <c r="AA3">
        <v>34910</v>
      </c>
      <c r="AB3">
        <f t="shared" si="0"/>
        <v>0</v>
      </c>
    </row>
    <row r="4" spans="1:30" x14ac:dyDescent="0.25">
      <c r="A4">
        <v>5033</v>
      </c>
      <c r="B4" t="s">
        <v>11</v>
      </c>
      <c r="C4" s="1">
        <v>44198</v>
      </c>
      <c r="D4">
        <v>289</v>
      </c>
      <c r="E4" t="s">
        <v>12</v>
      </c>
      <c r="F4" t="s">
        <v>13</v>
      </c>
      <c r="G4" t="s">
        <v>14</v>
      </c>
      <c r="H4">
        <v>219444</v>
      </c>
      <c r="I4">
        <v>0</v>
      </c>
      <c r="J4">
        <v>39500</v>
      </c>
      <c r="K4">
        <v>258944</v>
      </c>
      <c r="L4" t="s">
        <v>15</v>
      </c>
      <c r="M4" s="2">
        <v>44198</v>
      </c>
      <c r="O4">
        <v>5033</v>
      </c>
      <c r="P4" s="3">
        <v>44198</v>
      </c>
      <c r="Q4">
        <v>195000</v>
      </c>
      <c r="T4">
        <v>5000</v>
      </c>
      <c r="V4">
        <v>15444</v>
      </c>
      <c r="X4">
        <v>4000</v>
      </c>
      <c r="AA4">
        <v>219444</v>
      </c>
      <c r="AB4">
        <f t="shared" si="0"/>
        <v>0</v>
      </c>
    </row>
    <row r="5" spans="1:30" x14ac:dyDescent="0.25">
      <c r="A5">
        <v>5064</v>
      </c>
      <c r="B5" t="s">
        <v>5</v>
      </c>
      <c r="C5" s="1">
        <v>44198</v>
      </c>
      <c r="D5">
        <v>290</v>
      </c>
      <c r="E5" t="s">
        <v>1</v>
      </c>
      <c r="F5" t="s">
        <v>2</v>
      </c>
      <c r="G5" t="s">
        <v>6</v>
      </c>
      <c r="H5">
        <v>85792</v>
      </c>
      <c r="I5">
        <v>0</v>
      </c>
      <c r="J5">
        <v>15443</v>
      </c>
      <c r="K5">
        <v>101235</v>
      </c>
      <c r="L5" t="s">
        <v>16</v>
      </c>
      <c r="M5" s="2">
        <v>44198</v>
      </c>
      <c r="O5">
        <v>5064</v>
      </c>
      <c r="P5" s="3">
        <v>44198</v>
      </c>
      <c r="Q5">
        <v>65000</v>
      </c>
      <c r="T5">
        <v>2300</v>
      </c>
      <c r="U5">
        <v>8000</v>
      </c>
      <c r="V5">
        <v>8492</v>
      </c>
      <c r="X5">
        <v>2000</v>
      </c>
      <c r="AA5">
        <v>85792</v>
      </c>
      <c r="AB5">
        <f t="shared" si="0"/>
        <v>0</v>
      </c>
    </row>
    <row r="6" spans="1:30" x14ac:dyDescent="0.25">
      <c r="A6">
        <v>4910</v>
      </c>
      <c r="B6" t="s">
        <v>8</v>
      </c>
      <c r="C6" s="1">
        <v>44199</v>
      </c>
      <c r="D6">
        <v>294</v>
      </c>
      <c r="E6" t="s">
        <v>1</v>
      </c>
      <c r="F6" t="s">
        <v>9</v>
      </c>
      <c r="G6" t="s">
        <v>3</v>
      </c>
      <c r="H6">
        <v>105073</v>
      </c>
      <c r="I6">
        <v>0</v>
      </c>
      <c r="J6">
        <v>18913</v>
      </c>
      <c r="K6">
        <v>123986</v>
      </c>
      <c r="L6" t="s">
        <v>17</v>
      </c>
      <c r="M6" s="2">
        <v>44199</v>
      </c>
      <c r="O6">
        <v>4910</v>
      </c>
      <c r="P6" s="3">
        <v>44199</v>
      </c>
      <c r="Q6">
        <v>65000</v>
      </c>
      <c r="T6">
        <v>2300</v>
      </c>
      <c r="U6">
        <v>2000</v>
      </c>
      <c r="V6">
        <v>16940</v>
      </c>
      <c r="X6">
        <v>8000</v>
      </c>
      <c r="AA6">
        <v>94240</v>
      </c>
      <c r="AB6">
        <f t="shared" si="0"/>
        <v>-10833</v>
      </c>
      <c r="AD6">
        <f>Q6/12</f>
        <v>5416.666666666667</v>
      </c>
    </row>
    <row r="7" spans="1:30" x14ac:dyDescent="0.25">
      <c r="A7">
        <v>4941</v>
      </c>
      <c r="B7" t="s">
        <v>18</v>
      </c>
      <c r="C7" s="1">
        <v>44199</v>
      </c>
      <c r="D7">
        <v>292</v>
      </c>
      <c r="E7" t="s">
        <v>1</v>
      </c>
      <c r="F7" t="s">
        <v>19</v>
      </c>
      <c r="G7" t="s">
        <v>20</v>
      </c>
      <c r="H7">
        <v>65556</v>
      </c>
      <c r="I7">
        <v>0</v>
      </c>
      <c r="J7">
        <v>11800</v>
      </c>
      <c r="K7">
        <v>77356</v>
      </c>
      <c r="L7" t="s">
        <v>21</v>
      </c>
      <c r="M7" s="2">
        <v>44199</v>
      </c>
      <c r="O7">
        <v>4941</v>
      </c>
      <c r="P7" s="3">
        <v>44199</v>
      </c>
      <c r="Q7">
        <v>60000</v>
      </c>
      <c r="T7">
        <v>2300</v>
      </c>
      <c r="V7">
        <v>3256</v>
      </c>
      <c r="AA7">
        <v>65556</v>
      </c>
      <c r="AB7">
        <f t="shared" si="0"/>
        <v>0</v>
      </c>
    </row>
    <row r="8" spans="1:30" x14ac:dyDescent="0.25">
      <c r="A8">
        <v>5065</v>
      </c>
      <c r="B8" t="s">
        <v>5</v>
      </c>
      <c r="C8" s="1">
        <v>44199</v>
      </c>
      <c r="D8">
        <v>293</v>
      </c>
      <c r="E8" t="s">
        <v>1</v>
      </c>
      <c r="F8" t="s">
        <v>2</v>
      </c>
      <c r="G8" t="s">
        <v>6</v>
      </c>
      <c r="H8">
        <v>85022</v>
      </c>
      <c r="I8">
        <v>0</v>
      </c>
      <c r="J8">
        <v>15304</v>
      </c>
      <c r="K8">
        <v>100326</v>
      </c>
      <c r="L8" t="s">
        <v>22</v>
      </c>
      <c r="M8" s="2">
        <v>44199</v>
      </c>
      <c r="O8">
        <v>5065</v>
      </c>
      <c r="P8" s="3">
        <v>44199</v>
      </c>
      <c r="Q8">
        <v>65000</v>
      </c>
      <c r="T8">
        <v>2300</v>
      </c>
      <c r="U8">
        <v>8000</v>
      </c>
      <c r="V8">
        <v>7722</v>
      </c>
      <c r="X8">
        <v>2000</v>
      </c>
      <c r="AA8">
        <v>85022</v>
      </c>
      <c r="AB8">
        <f t="shared" si="0"/>
        <v>0</v>
      </c>
    </row>
    <row r="9" spans="1:30" x14ac:dyDescent="0.25">
      <c r="A9">
        <v>4911</v>
      </c>
      <c r="B9" t="s">
        <v>8</v>
      </c>
      <c r="C9" s="1">
        <v>44200</v>
      </c>
      <c r="D9">
        <v>297</v>
      </c>
      <c r="E9" t="s">
        <v>1</v>
      </c>
      <c r="F9" t="s">
        <v>9</v>
      </c>
      <c r="G9" t="s">
        <v>3</v>
      </c>
      <c r="H9">
        <v>173807</v>
      </c>
      <c r="I9">
        <v>0</v>
      </c>
      <c r="J9">
        <v>31285</v>
      </c>
      <c r="K9">
        <v>205092</v>
      </c>
      <c r="L9" t="s">
        <v>23</v>
      </c>
      <c r="M9" s="2">
        <v>44200</v>
      </c>
      <c r="O9">
        <v>4911</v>
      </c>
      <c r="P9" s="3">
        <v>44200</v>
      </c>
      <c r="Q9">
        <v>130000</v>
      </c>
      <c r="S9">
        <v>8125</v>
      </c>
      <c r="T9">
        <v>2300</v>
      </c>
      <c r="U9">
        <v>4000</v>
      </c>
      <c r="V9">
        <v>19382</v>
      </c>
      <c r="W9">
        <v>0</v>
      </c>
      <c r="X9">
        <v>10000</v>
      </c>
      <c r="AA9">
        <v>173807</v>
      </c>
      <c r="AB9">
        <f t="shared" si="0"/>
        <v>0</v>
      </c>
    </row>
    <row r="10" spans="1:30" x14ac:dyDescent="0.25">
      <c r="A10">
        <v>4942</v>
      </c>
      <c r="B10" t="s">
        <v>18</v>
      </c>
      <c r="C10" s="1">
        <v>44200</v>
      </c>
      <c r="D10">
        <v>295</v>
      </c>
      <c r="E10" t="s">
        <v>1</v>
      </c>
      <c r="F10" t="s">
        <v>19</v>
      </c>
      <c r="G10" t="s">
        <v>20</v>
      </c>
      <c r="H10">
        <v>81166</v>
      </c>
      <c r="I10">
        <v>0</v>
      </c>
      <c r="J10">
        <v>14610</v>
      </c>
      <c r="K10">
        <v>95776</v>
      </c>
      <c r="L10" t="s">
        <v>24</v>
      </c>
      <c r="M10" s="2">
        <v>44200</v>
      </c>
      <c r="O10">
        <v>4942</v>
      </c>
      <c r="P10" s="3">
        <v>44200</v>
      </c>
      <c r="Q10">
        <v>60000</v>
      </c>
      <c r="T10">
        <v>2300</v>
      </c>
      <c r="U10">
        <v>2000</v>
      </c>
      <c r="V10">
        <v>8866</v>
      </c>
      <c r="X10">
        <v>8000</v>
      </c>
      <c r="AA10">
        <v>81166</v>
      </c>
      <c r="AB10">
        <f t="shared" si="0"/>
        <v>0</v>
      </c>
    </row>
    <row r="11" spans="1:30" x14ac:dyDescent="0.25">
      <c r="A11">
        <v>5066</v>
      </c>
      <c r="B11" t="s">
        <v>5</v>
      </c>
      <c r="C11" s="1">
        <v>44200</v>
      </c>
      <c r="D11">
        <v>298</v>
      </c>
      <c r="E11" t="s">
        <v>1</v>
      </c>
      <c r="F11" t="s">
        <v>2</v>
      </c>
      <c r="G11" t="s">
        <v>6</v>
      </c>
      <c r="H11">
        <v>92203</v>
      </c>
      <c r="I11">
        <v>0</v>
      </c>
      <c r="J11">
        <v>16597</v>
      </c>
      <c r="K11">
        <v>108800</v>
      </c>
      <c r="L11" t="s">
        <v>25</v>
      </c>
      <c r="M11" s="2">
        <v>44200</v>
      </c>
      <c r="O11">
        <v>5066</v>
      </c>
      <c r="P11" s="3">
        <v>44200</v>
      </c>
      <c r="Q11">
        <v>75833</v>
      </c>
      <c r="T11">
        <v>2300</v>
      </c>
      <c r="U11">
        <v>8000</v>
      </c>
      <c r="V11">
        <v>4070</v>
      </c>
      <c r="X11">
        <v>2000</v>
      </c>
      <c r="AA11">
        <v>92203</v>
      </c>
      <c r="AB11">
        <f t="shared" si="0"/>
        <v>0</v>
      </c>
    </row>
    <row r="12" spans="1:30" x14ac:dyDescent="0.25">
      <c r="A12">
        <v>5067</v>
      </c>
      <c r="B12" t="s">
        <v>5</v>
      </c>
      <c r="C12" s="1">
        <v>44201</v>
      </c>
      <c r="D12">
        <v>299</v>
      </c>
      <c r="E12" t="s">
        <v>1</v>
      </c>
      <c r="F12" t="s">
        <v>2</v>
      </c>
      <c r="G12" t="s">
        <v>6</v>
      </c>
      <c r="H12">
        <v>84514</v>
      </c>
      <c r="I12">
        <v>0</v>
      </c>
      <c r="J12">
        <v>15213</v>
      </c>
      <c r="K12">
        <v>99727</v>
      </c>
      <c r="L12" t="s">
        <v>26</v>
      </c>
      <c r="M12" s="2">
        <v>44201</v>
      </c>
      <c r="O12">
        <v>5067</v>
      </c>
      <c r="P12" s="3">
        <v>44201</v>
      </c>
      <c r="Q12">
        <v>65000</v>
      </c>
      <c r="T12">
        <v>2300</v>
      </c>
      <c r="U12">
        <v>10000</v>
      </c>
      <c r="V12">
        <v>5214</v>
      </c>
      <c r="X12">
        <v>2000</v>
      </c>
      <c r="AA12">
        <v>84514</v>
      </c>
      <c r="AB12">
        <f t="shared" si="0"/>
        <v>0</v>
      </c>
    </row>
    <row r="13" spans="1:30" x14ac:dyDescent="0.25">
      <c r="A13">
        <v>8923</v>
      </c>
      <c r="B13" t="s">
        <v>27</v>
      </c>
      <c r="C13" s="1">
        <v>44201</v>
      </c>
      <c r="D13">
        <v>296</v>
      </c>
      <c r="E13" t="s">
        <v>1</v>
      </c>
      <c r="F13" t="s">
        <v>19</v>
      </c>
      <c r="G13" t="s">
        <v>20</v>
      </c>
      <c r="H13">
        <v>32300</v>
      </c>
      <c r="I13">
        <v>0</v>
      </c>
      <c r="J13">
        <v>5814</v>
      </c>
      <c r="K13">
        <v>38114</v>
      </c>
      <c r="L13" t="s">
        <v>28</v>
      </c>
      <c r="M13" s="2">
        <v>44201</v>
      </c>
      <c r="O13">
        <v>8923</v>
      </c>
      <c r="P13" s="3">
        <v>44201</v>
      </c>
      <c r="S13">
        <v>30000</v>
      </c>
      <c r="T13">
        <v>2300</v>
      </c>
      <c r="AA13">
        <v>32300</v>
      </c>
      <c r="AB13">
        <f t="shared" si="0"/>
        <v>0</v>
      </c>
    </row>
    <row r="14" spans="1:30" x14ac:dyDescent="0.25">
      <c r="A14">
        <v>4945</v>
      </c>
      <c r="B14" t="s">
        <v>29</v>
      </c>
      <c r="C14" s="1">
        <v>44203</v>
      </c>
      <c r="D14">
        <v>312</v>
      </c>
      <c r="E14" t="s">
        <v>30</v>
      </c>
      <c r="F14" t="s">
        <v>9</v>
      </c>
      <c r="G14" t="s">
        <v>20</v>
      </c>
      <c r="H14">
        <v>59700</v>
      </c>
      <c r="I14">
        <v>0</v>
      </c>
      <c r="J14">
        <v>10746</v>
      </c>
      <c r="K14">
        <v>70446</v>
      </c>
      <c r="L14" t="s">
        <v>31</v>
      </c>
      <c r="M14" s="2">
        <v>44203</v>
      </c>
      <c r="O14">
        <v>4945</v>
      </c>
      <c r="P14" s="3">
        <v>44203</v>
      </c>
      <c r="Q14">
        <v>40000</v>
      </c>
      <c r="T14">
        <v>1700</v>
      </c>
      <c r="V14">
        <v>0</v>
      </c>
      <c r="X14">
        <v>18000</v>
      </c>
      <c r="AA14">
        <v>59700</v>
      </c>
      <c r="AB14">
        <f t="shared" si="0"/>
        <v>0</v>
      </c>
    </row>
    <row r="15" spans="1:30" x14ac:dyDescent="0.25">
      <c r="A15">
        <v>4915</v>
      </c>
      <c r="B15" t="s">
        <v>32</v>
      </c>
      <c r="C15" s="1">
        <v>44204</v>
      </c>
      <c r="D15">
        <v>314</v>
      </c>
      <c r="E15" t="s">
        <v>1</v>
      </c>
      <c r="F15" t="s">
        <v>33</v>
      </c>
      <c r="G15" t="s">
        <v>3</v>
      </c>
      <c r="H15">
        <v>35086</v>
      </c>
      <c r="I15">
        <v>0</v>
      </c>
      <c r="J15">
        <v>6315</v>
      </c>
      <c r="K15">
        <v>41401</v>
      </c>
      <c r="L15" t="s">
        <v>34</v>
      </c>
      <c r="M15" s="2">
        <v>44204</v>
      </c>
      <c r="O15">
        <v>4915</v>
      </c>
      <c r="P15" s="3">
        <v>44204</v>
      </c>
      <c r="R15">
        <v>32500</v>
      </c>
      <c r="T15">
        <v>2300</v>
      </c>
      <c r="V15">
        <v>286</v>
      </c>
      <c r="AA15">
        <v>35086</v>
      </c>
      <c r="AB15">
        <f t="shared" si="0"/>
        <v>0</v>
      </c>
    </row>
    <row r="16" spans="1:30" x14ac:dyDescent="0.25">
      <c r="A16">
        <v>4946</v>
      </c>
      <c r="B16" t="s">
        <v>29</v>
      </c>
      <c r="C16" s="1">
        <v>44204</v>
      </c>
      <c r="D16">
        <v>313</v>
      </c>
      <c r="E16" t="s">
        <v>30</v>
      </c>
      <c r="F16" t="s">
        <v>9</v>
      </c>
      <c r="G16" t="s">
        <v>20</v>
      </c>
      <c r="H16">
        <v>57700</v>
      </c>
      <c r="I16">
        <v>0</v>
      </c>
      <c r="J16">
        <v>10386</v>
      </c>
      <c r="K16">
        <v>68086</v>
      </c>
      <c r="L16" t="s">
        <v>35</v>
      </c>
      <c r="M16" s="2">
        <v>44204</v>
      </c>
      <c r="O16">
        <v>4946</v>
      </c>
      <c r="P16" s="3">
        <v>44204</v>
      </c>
      <c r="Q16">
        <v>40000</v>
      </c>
      <c r="T16">
        <v>1700</v>
      </c>
      <c r="X16">
        <v>16000</v>
      </c>
      <c r="AA16">
        <v>57700</v>
      </c>
      <c r="AB16">
        <f t="shared" si="0"/>
        <v>0</v>
      </c>
    </row>
    <row r="17" spans="1:30" x14ac:dyDescent="0.25">
      <c r="A17">
        <v>4916</v>
      </c>
      <c r="B17" t="s">
        <v>32</v>
      </c>
      <c r="C17" s="1">
        <v>44205</v>
      </c>
      <c r="D17">
        <v>315</v>
      </c>
      <c r="E17" t="s">
        <v>1</v>
      </c>
      <c r="F17" t="s">
        <v>33</v>
      </c>
      <c r="G17" t="s">
        <v>3</v>
      </c>
      <c r="H17">
        <v>88588</v>
      </c>
      <c r="I17">
        <v>0</v>
      </c>
      <c r="J17">
        <v>15946</v>
      </c>
      <c r="K17">
        <v>104534</v>
      </c>
      <c r="L17" t="s">
        <v>36</v>
      </c>
      <c r="M17" s="2">
        <v>44205</v>
      </c>
      <c r="O17">
        <v>4916</v>
      </c>
      <c r="P17" s="3">
        <v>44205</v>
      </c>
      <c r="Q17">
        <v>65000</v>
      </c>
      <c r="T17">
        <v>2300</v>
      </c>
      <c r="U17">
        <v>4000</v>
      </c>
      <c r="V17">
        <v>13288</v>
      </c>
      <c r="X17">
        <v>4000</v>
      </c>
      <c r="AA17">
        <v>88588</v>
      </c>
      <c r="AB17">
        <f t="shared" si="0"/>
        <v>0</v>
      </c>
    </row>
    <row r="18" spans="1:30" x14ac:dyDescent="0.25">
      <c r="A18">
        <v>5009</v>
      </c>
      <c r="B18" t="s">
        <v>37</v>
      </c>
      <c r="C18" s="1">
        <v>44205</v>
      </c>
      <c r="D18">
        <v>316</v>
      </c>
      <c r="E18" t="s">
        <v>38</v>
      </c>
      <c r="F18" t="s">
        <v>39</v>
      </c>
      <c r="G18" t="s">
        <v>40</v>
      </c>
      <c r="H18">
        <v>149160</v>
      </c>
      <c r="I18">
        <v>0</v>
      </c>
      <c r="J18">
        <v>26849</v>
      </c>
      <c r="K18">
        <v>176009</v>
      </c>
      <c r="L18" t="s">
        <v>41</v>
      </c>
      <c r="M18" s="2">
        <v>44205</v>
      </c>
      <c r="O18">
        <v>5009</v>
      </c>
      <c r="P18" s="3">
        <v>44205</v>
      </c>
      <c r="Q18">
        <v>145000</v>
      </c>
      <c r="T18">
        <v>3500</v>
      </c>
      <c r="V18">
        <v>660</v>
      </c>
      <c r="AA18">
        <v>149160</v>
      </c>
      <c r="AB18">
        <f t="shared" si="0"/>
        <v>0</v>
      </c>
    </row>
    <row r="19" spans="1:30" x14ac:dyDescent="0.25">
      <c r="A19">
        <v>4948</v>
      </c>
      <c r="B19" t="s">
        <v>42</v>
      </c>
      <c r="C19" s="1">
        <v>44206</v>
      </c>
      <c r="D19">
        <v>319</v>
      </c>
      <c r="E19" t="s">
        <v>1</v>
      </c>
      <c r="F19" t="s">
        <v>9</v>
      </c>
      <c r="G19" t="s">
        <v>20</v>
      </c>
      <c r="H19">
        <v>110718</v>
      </c>
      <c r="I19">
        <v>0</v>
      </c>
      <c r="J19">
        <v>19929</v>
      </c>
      <c r="K19">
        <v>130647</v>
      </c>
      <c r="L19" t="s">
        <v>43</v>
      </c>
      <c r="M19" s="2">
        <v>44206</v>
      </c>
      <c r="O19">
        <v>4948</v>
      </c>
      <c r="P19" s="3">
        <v>44206</v>
      </c>
      <c r="Q19">
        <v>70000</v>
      </c>
      <c r="R19">
        <v>7500</v>
      </c>
      <c r="T19">
        <v>2300</v>
      </c>
      <c r="U19">
        <v>2000</v>
      </c>
      <c r="V19">
        <v>8668</v>
      </c>
      <c r="W19">
        <v>250</v>
      </c>
      <c r="X19">
        <v>20000</v>
      </c>
      <c r="AA19">
        <v>110718</v>
      </c>
      <c r="AB19">
        <f t="shared" si="0"/>
        <v>0</v>
      </c>
    </row>
    <row r="20" spans="1:30" x14ac:dyDescent="0.25">
      <c r="A20">
        <v>5010</v>
      </c>
      <c r="B20" t="s">
        <v>37</v>
      </c>
      <c r="C20" s="1">
        <v>44206</v>
      </c>
      <c r="D20">
        <v>318</v>
      </c>
      <c r="E20" t="s">
        <v>38</v>
      </c>
      <c r="F20" t="s">
        <v>39</v>
      </c>
      <c r="G20" t="s">
        <v>40</v>
      </c>
      <c r="H20">
        <v>149072</v>
      </c>
      <c r="I20">
        <v>0</v>
      </c>
      <c r="J20">
        <v>26833</v>
      </c>
      <c r="K20">
        <v>175905</v>
      </c>
      <c r="L20" t="s">
        <v>44</v>
      </c>
      <c r="M20" s="2">
        <v>44206</v>
      </c>
      <c r="O20">
        <v>5010</v>
      </c>
      <c r="P20" s="3">
        <v>44206</v>
      </c>
      <c r="Q20">
        <v>145000</v>
      </c>
      <c r="T20">
        <v>3500</v>
      </c>
      <c r="V20">
        <v>572</v>
      </c>
      <c r="AA20">
        <v>149072</v>
      </c>
      <c r="AB20">
        <f t="shared" si="0"/>
        <v>0</v>
      </c>
    </row>
    <row r="21" spans="1:30" x14ac:dyDescent="0.25">
      <c r="A21">
        <v>4918</v>
      </c>
      <c r="B21" t="s">
        <v>45</v>
      </c>
      <c r="C21" s="1">
        <v>44207</v>
      </c>
      <c r="D21">
        <v>322</v>
      </c>
      <c r="E21" t="s">
        <v>38</v>
      </c>
      <c r="F21" t="s">
        <v>46</v>
      </c>
      <c r="G21" t="s">
        <v>3</v>
      </c>
      <c r="H21">
        <v>44800</v>
      </c>
      <c r="I21">
        <v>0</v>
      </c>
      <c r="J21">
        <v>8064</v>
      </c>
      <c r="K21">
        <v>52864</v>
      </c>
      <c r="L21" t="s">
        <v>47</v>
      </c>
      <c r="M21" s="2">
        <v>44207</v>
      </c>
      <c r="O21">
        <v>4918</v>
      </c>
      <c r="P21" s="3">
        <v>44207</v>
      </c>
      <c r="R21">
        <v>42500</v>
      </c>
      <c r="T21">
        <v>2300</v>
      </c>
      <c r="AA21">
        <v>44800</v>
      </c>
      <c r="AB21">
        <f t="shared" si="0"/>
        <v>0</v>
      </c>
    </row>
    <row r="22" spans="1:30" x14ac:dyDescent="0.25">
      <c r="A22">
        <v>5011</v>
      </c>
      <c r="B22" t="s">
        <v>37</v>
      </c>
      <c r="C22" s="1">
        <v>44207</v>
      </c>
      <c r="D22">
        <v>323</v>
      </c>
      <c r="E22" t="s">
        <v>38</v>
      </c>
      <c r="F22" t="s">
        <v>39</v>
      </c>
      <c r="G22" t="s">
        <v>40</v>
      </c>
      <c r="H22">
        <v>168195</v>
      </c>
      <c r="I22">
        <v>0</v>
      </c>
      <c r="J22">
        <v>30275</v>
      </c>
      <c r="K22">
        <v>198470</v>
      </c>
      <c r="L22" t="s">
        <v>48</v>
      </c>
      <c r="M22" s="2">
        <v>44207</v>
      </c>
      <c r="O22">
        <v>5011</v>
      </c>
      <c r="P22" s="3">
        <v>44207</v>
      </c>
      <c r="Q22">
        <v>145000</v>
      </c>
      <c r="T22">
        <v>3500</v>
      </c>
      <c r="V22">
        <v>7612</v>
      </c>
      <c r="AA22">
        <v>156112</v>
      </c>
      <c r="AB22">
        <f t="shared" si="0"/>
        <v>-12083</v>
      </c>
      <c r="AD22">
        <f>Q22/12</f>
        <v>12083.333333333334</v>
      </c>
    </row>
    <row r="23" spans="1:30" x14ac:dyDescent="0.25">
      <c r="A23">
        <v>5104</v>
      </c>
      <c r="B23" t="s">
        <v>49</v>
      </c>
      <c r="C23" s="1">
        <v>44207</v>
      </c>
      <c r="D23">
        <v>321</v>
      </c>
      <c r="E23" t="s">
        <v>12</v>
      </c>
      <c r="F23" t="s">
        <v>50</v>
      </c>
      <c r="G23" t="s">
        <v>51</v>
      </c>
      <c r="H23">
        <v>45174</v>
      </c>
      <c r="I23">
        <v>0</v>
      </c>
      <c r="J23">
        <v>8131</v>
      </c>
      <c r="K23">
        <v>53305</v>
      </c>
      <c r="L23" t="s">
        <v>52</v>
      </c>
      <c r="O23">
        <v>5104</v>
      </c>
      <c r="P23" s="3">
        <v>44207</v>
      </c>
      <c r="R23">
        <v>42500</v>
      </c>
      <c r="T23">
        <v>2300</v>
      </c>
      <c r="V23">
        <v>374</v>
      </c>
      <c r="AA23">
        <v>45174</v>
      </c>
      <c r="AB23">
        <f t="shared" si="0"/>
        <v>0</v>
      </c>
    </row>
    <row r="24" spans="1:30" x14ac:dyDescent="0.25">
      <c r="A24">
        <v>5135</v>
      </c>
      <c r="B24" t="s">
        <v>53</v>
      </c>
      <c r="C24" s="1">
        <v>44207</v>
      </c>
      <c r="D24">
        <v>320</v>
      </c>
      <c r="E24" t="s">
        <v>12</v>
      </c>
      <c r="F24" t="s">
        <v>54</v>
      </c>
      <c r="G24" t="s">
        <v>55</v>
      </c>
      <c r="H24">
        <v>213250</v>
      </c>
      <c r="I24">
        <v>-37000</v>
      </c>
      <c r="J24">
        <v>31725</v>
      </c>
      <c r="K24">
        <v>207975</v>
      </c>
      <c r="L24" t="s">
        <v>56</v>
      </c>
      <c r="M24" s="2">
        <v>44207</v>
      </c>
      <c r="O24">
        <v>5135</v>
      </c>
      <c r="P24" s="3">
        <v>44207</v>
      </c>
      <c r="Q24">
        <v>185000</v>
      </c>
      <c r="T24">
        <v>3500</v>
      </c>
      <c r="V24">
        <v>24750</v>
      </c>
      <c r="AA24">
        <v>213250</v>
      </c>
      <c r="AB24">
        <f t="shared" si="0"/>
        <v>0</v>
      </c>
    </row>
    <row r="25" spans="1:30" x14ac:dyDescent="0.25">
      <c r="A25">
        <v>4919</v>
      </c>
      <c r="B25" t="s">
        <v>45</v>
      </c>
      <c r="C25" s="1">
        <v>44208</v>
      </c>
      <c r="D25">
        <v>326</v>
      </c>
      <c r="E25" t="s">
        <v>38</v>
      </c>
      <c r="F25" t="s">
        <v>46</v>
      </c>
      <c r="G25" t="s">
        <v>3</v>
      </c>
      <c r="H25">
        <v>97300</v>
      </c>
      <c r="I25">
        <v>0</v>
      </c>
      <c r="J25">
        <v>17514</v>
      </c>
      <c r="K25">
        <v>114814</v>
      </c>
      <c r="L25" t="s">
        <v>52</v>
      </c>
      <c r="O25">
        <v>4919</v>
      </c>
      <c r="P25" s="3">
        <v>44208</v>
      </c>
      <c r="Q25">
        <v>85000</v>
      </c>
      <c r="T25">
        <v>2300</v>
      </c>
      <c r="U25">
        <v>2000</v>
      </c>
      <c r="X25">
        <v>8000</v>
      </c>
      <c r="AA25">
        <v>97300</v>
      </c>
      <c r="AB25">
        <f t="shared" si="0"/>
        <v>0</v>
      </c>
    </row>
    <row r="26" spans="1:30" x14ac:dyDescent="0.25">
      <c r="A26">
        <v>5012</v>
      </c>
      <c r="B26" t="s">
        <v>37</v>
      </c>
      <c r="C26" s="1">
        <v>44208</v>
      </c>
      <c r="D26">
        <v>324</v>
      </c>
      <c r="E26" t="s">
        <v>38</v>
      </c>
      <c r="F26" t="s">
        <v>39</v>
      </c>
      <c r="G26" t="s">
        <v>40</v>
      </c>
      <c r="H26">
        <v>150500</v>
      </c>
      <c r="I26">
        <v>0</v>
      </c>
      <c r="J26">
        <v>27090</v>
      </c>
      <c r="K26">
        <v>177590</v>
      </c>
      <c r="L26" t="s">
        <v>57</v>
      </c>
      <c r="M26" s="2">
        <v>44208</v>
      </c>
      <c r="O26">
        <v>5012</v>
      </c>
      <c r="P26" s="3">
        <v>44208</v>
      </c>
      <c r="Q26">
        <v>145000</v>
      </c>
      <c r="T26">
        <v>3500</v>
      </c>
      <c r="X26">
        <v>2000</v>
      </c>
      <c r="AA26">
        <v>150500</v>
      </c>
      <c r="AB26">
        <f t="shared" si="0"/>
        <v>0</v>
      </c>
    </row>
    <row r="27" spans="1:30" x14ac:dyDescent="0.25">
      <c r="A27">
        <v>5104</v>
      </c>
      <c r="B27" t="s">
        <v>49</v>
      </c>
      <c r="C27" s="1">
        <v>44207</v>
      </c>
      <c r="E27" t="s">
        <v>12</v>
      </c>
      <c r="F27" t="s">
        <v>50</v>
      </c>
      <c r="G27" t="s">
        <v>51</v>
      </c>
      <c r="H27">
        <v>45174</v>
      </c>
      <c r="I27">
        <v>0</v>
      </c>
      <c r="J27">
        <v>8131</v>
      </c>
      <c r="K27">
        <v>53305</v>
      </c>
      <c r="L27" t="s">
        <v>52</v>
      </c>
      <c r="O27">
        <v>5104</v>
      </c>
      <c r="P27" s="3">
        <v>44207</v>
      </c>
      <c r="R27">
        <v>179200</v>
      </c>
      <c r="T27">
        <v>9200</v>
      </c>
      <c r="AA27">
        <v>179200</v>
      </c>
      <c r="AB27">
        <f t="shared" si="0"/>
        <v>134026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41"/>
  <sheetViews>
    <sheetView topLeftCell="R1" workbookViewId="0">
      <selection activeCell="AB2" sqref="AB2"/>
    </sheetView>
  </sheetViews>
  <sheetFormatPr defaultRowHeight="15" x14ac:dyDescent="0.25"/>
  <sheetData>
    <row r="2" spans="1:28" x14ac:dyDescent="0.25">
      <c r="A2">
        <v>4908</v>
      </c>
      <c r="B2" t="s">
        <v>0</v>
      </c>
      <c r="C2" s="1">
        <v>44197</v>
      </c>
      <c r="D2">
        <v>286</v>
      </c>
      <c r="E2" t="s">
        <v>1</v>
      </c>
      <c r="F2" t="s">
        <v>2</v>
      </c>
      <c r="G2" t="s">
        <v>3</v>
      </c>
      <c r="H2">
        <v>35152</v>
      </c>
      <c r="I2">
        <v>0</v>
      </c>
      <c r="J2">
        <v>6327</v>
      </c>
      <c r="K2">
        <v>41479</v>
      </c>
      <c r="L2" t="s">
        <v>4</v>
      </c>
      <c r="M2" s="2">
        <v>44197</v>
      </c>
      <c r="O2">
        <v>4908</v>
      </c>
      <c r="P2" s="3">
        <v>44197</v>
      </c>
      <c r="S2">
        <v>32500</v>
      </c>
      <c r="T2">
        <v>2300</v>
      </c>
      <c r="V2">
        <v>352</v>
      </c>
      <c r="AA2">
        <v>35152</v>
      </c>
      <c r="AB2">
        <f>AA2-H2</f>
        <v>0</v>
      </c>
    </row>
    <row r="3" spans="1:28" x14ac:dyDescent="0.25">
      <c r="A3">
        <v>5063</v>
      </c>
      <c r="B3" t="s">
        <v>5</v>
      </c>
      <c r="C3" s="1">
        <v>44197</v>
      </c>
      <c r="D3">
        <v>285</v>
      </c>
      <c r="E3" t="s">
        <v>1</v>
      </c>
      <c r="F3" t="s">
        <v>2</v>
      </c>
      <c r="G3" t="s">
        <v>6</v>
      </c>
      <c r="H3">
        <v>84514</v>
      </c>
      <c r="I3">
        <v>0</v>
      </c>
      <c r="J3">
        <v>15213</v>
      </c>
      <c r="K3">
        <v>99727</v>
      </c>
      <c r="L3" t="s">
        <v>7</v>
      </c>
      <c r="M3" s="2">
        <v>44197</v>
      </c>
      <c r="O3">
        <v>5063</v>
      </c>
      <c r="P3" s="3">
        <v>44197</v>
      </c>
      <c r="Q3">
        <v>65000</v>
      </c>
      <c r="T3">
        <v>2300</v>
      </c>
      <c r="U3">
        <v>10000</v>
      </c>
      <c r="V3">
        <v>5214</v>
      </c>
      <c r="X3">
        <v>2000</v>
      </c>
      <c r="AA3">
        <v>84514</v>
      </c>
      <c r="AB3">
        <f t="shared" ref="AB3:AB41" si="0">AA3-H3</f>
        <v>0</v>
      </c>
    </row>
    <row r="4" spans="1:28" x14ac:dyDescent="0.25">
      <c r="A4">
        <v>4909</v>
      </c>
      <c r="B4" t="s">
        <v>8</v>
      </c>
      <c r="C4" s="1">
        <v>44198</v>
      </c>
      <c r="D4">
        <v>291</v>
      </c>
      <c r="E4" t="s">
        <v>1</v>
      </c>
      <c r="F4" t="s">
        <v>9</v>
      </c>
      <c r="G4" t="s">
        <v>3</v>
      </c>
      <c r="H4">
        <v>34910</v>
      </c>
      <c r="I4">
        <v>0</v>
      </c>
      <c r="J4">
        <v>6284</v>
      </c>
      <c r="K4">
        <v>41194</v>
      </c>
      <c r="L4" t="s">
        <v>10</v>
      </c>
      <c r="M4" s="2">
        <v>44198</v>
      </c>
      <c r="O4">
        <v>4909</v>
      </c>
      <c r="P4" s="3">
        <v>44198</v>
      </c>
      <c r="R4">
        <v>32500</v>
      </c>
      <c r="T4">
        <v>2300</v>
      </c>
      <c r="V4">
        <v>110</v>
      </c>
      <c r="AA4">
        <v>34910</v>
      </c>
      <c r="AB4">
        <f t="shared" si="0"/>
        <v>0</v>
      </c>
    </row>
    <row r="5" spans="1:28" x14ac:dyDescent="0.25">
      <c r="A5">
        <v>5033</v>
      </c>
      <c r="B5" t="s">
        <v>11</v>
      </c>
      <c r="C5" s="1">
        <v>44198</v>
      </c>
      <c r="D5">
        <v>289</v>
      </c>
      <c r="E5" t="s">
        <v>12</v>
      </c>
      <c r="F5" t="s">
        <v>13</v>
      </c>
      <c r="G5" t="s">
        <v>14</v>
      </c>
      <c r="H5">
        <v>219444</v>
      </c>
      <c r="I5">
        <v>0</v>
      </c>
      <c r="J5">
        <v>39500</v>
      </c>
      <c r="K5">
        <v>258944</v>
      </c>
      <c r="L5" t="s">
        <v>15</v>
      </c>
      <c r="M5" s="2">
        <v>44198</v>
      </c>
      <c r="O5">
        <v>5033</v>
      </c>
      <c r="P5" s="3">
        <v>44198</v>
      </c>
      <c r="Q5">
        <v>195000</v>
      </c>
      <c r="T5">
        <v>5000</v>
      </c>
      <c r="V5">
        <v>15444</v>
      </c>
      <c r="X5">
        <v>4000</v>
      </c>
      <c r="AA5">
        <v>219444</v>
      </c>
      <c r="AB5">
        <f t="shared" si="0"/>
        <v>0</v>
      </c>
    </row>
    <row r="6" spans="1:28" x14ac:dyDescent="0.25">
      <c r="A6">
        <v>5064</v>
      </c>
      <c r="B6" t="s">
        <v>5</v>
      </c>
      <c r="C6" s="1">
        <v>44198</v>
      </c>
      <c r="D6">
        <v>290</v>
      </c>
      <c r="E6" t="s">
        <v>1</v>
      </c>
      <c r="F6" t="s">
        <v>2</v>
      </c>
      <c r="G6" t="s">
        <v>6</v>
      </c>
      <c r="H6">
        <v>85792</v>
      </c>
      <c r="I6">
        <v>0</v>
      </c>
      <c r="J6">
        <v>15443</v>
      </c>
      <c r="K6">
        <v>101235</v>
      </c>
      <c r="L6" t="s">
        <v>16</v>
      </c>
      <c r="M6" s="2">
        <v>44198</v>
      </c>
      <c r="O6">
        <v>5064</v>
      </c>
      <c r="P6" s="3">
        <v>44198</v>
      </c>
      <c r="Q6">
        <v>65000</v>
      </c>
      <c r="T6">
        <v>2300</v>
      </c>
      <c r="U6">
        <v>8000</v>
      </c>
      <c r="V6">
        <v>8492</v>
      </c>
      <c r="X6">
        <v>2000</v>
      </c>
      <c r="AA6">
        <v>85792</v>
      </c>
      <c r="AB6">
        <f t="shared" si="0"/>
        <v>0</v>
      </c>
    </row>
    <row r="7" spans="1:28" x14ac:dyDescent="0.25">
      <c r="A7">
        <v>4910</v>
      </c>
      <c r="B7" t="s">
        <v>8</v>
      </c>
      <c r="C7" s="1">
        <v>44199</v>
      </c>
      <c r="D7">
        <v>294</v>
      </c>
      <c r="E7" t="s">
        <v>1</v>
      </c>
      <c r="F7" t="s">
        <v>9</v>
      </c>
      <c r="G7" t="s">
        <v>3</v>
      </c>
      <c r="H7">
        <v>105073</v>
      </c>
      <c r="I7">
        <v>0</v>
      </c>
      <c r="J7">
        <v>18913</v>
      </c>
      <c r="K7">
        <v>123986</v>
      </c>
      <c r="L7" t="s">
        <v>17</v>
      </c>
      <c r="M7" s="2">
        <v>44199</v>
      </c>
      <c r="O7">
        <v>4910</v>
      </c>
      <c r="P7" s="3">
        <v>44199</v>
      </c>
      <c r="Q7">
        <v>75833</v>
      </c>
      <c r="T7">
        <v>2300</v>
      </c>
      <c r="U7">
        <v>2000</v>
      </c>
      <c r="V7">
        <v>16940</v>
      </c>
      <c r="X7">
        <v>8000</v>
      </c>
      <c r="AA7">
        <v>105073</v>
      </c>
      <c r="AB7">
        <f t="shared" si="0"/>
        <v>0</v>
      </c>
    </row>
    <row r="8" spans="1:28" x14ac:dyDescent="0.25">
      <c r="A8">
        <v>4941</v>
      </c>
      <c r="B8" t="s">
        <v>18</v>
      </c>
      <c r="C8" s="1">
        <v>44199</v>
      </c>
      <c r="D8">
        <v>292</v>
      </c>
      <c r="E8" t="s">
        <v>1</v>
      </c>
      <c r="F8" t="s">
        <v>19</v>
      </c>
      <c r="G8" t="s">
        <v>20</v>
      </c>
      <c r="H8">
        <v>65556</v>
      </c>
      <c r="I8">
        <v>0</v>
      </c>
      <c r="J8">
        <v>11800</v>
      </c>
      <c r="K8">
        <v>77356</v>
      </c>
      <c r="L8" t="s">
        <v>21</v>
      </c>
      <c r="M8" s="2">
        <v>44199</v>
      </c>
      <c r="O8">
        <v>4941</v>
      </c>
      <c r="P8" s="3">
        <v>44199</v>
      </c>
      <c r="Q8">
        <v>60000</v>
      </c>
      <c r="T8">
        <v>2300</v>
      </c>
      <c r="V8">
        <v>3256</v>
      </c>
      <c r="AA8">
        <v>65556</v>
      </c>
      <c r="AB8">
        <f t="shared" si="0"/>
        <v>0</v>
      </c>
    </row>
    <row r="9" spans="1:28" x14ac:dyDescent="0.25">
      <c r="A9">
        <v>5065</v>
      </c>
      <c r="B9" t="s">
        <v>5</v>
      </c>
      <c r="C9" s="1">
        <v>44199</v>
      </c>
      <c r="D9">
        <v>293</v>
      </c>
      <c r="E9" t="s">
        <v>1</v>
      </c>
      <c r="F9" t="s">
        <v>2</v>
      </c>
      <c r="G9" t="s">
        <v>6</v>
      </c>
      <c r="H9">
        <v>85022</v>
      </c>
      <c r="I9">
        <v>0</v>
      </c>
      <c r="J9">
        <v>15304</v>
      </c>
      <c r="K9">
        <v>100326</v>
      </c>
      <c r="L9" t="s">
        <v>22</v>
      </c>
      <c r="M9" s="2">
        <v>44199</v>
      </c>
      <c r="O9">
        <v>5065</v>
      </c>
      <c r="P9" s="3">
        <v>44199</v>
      </c>
      <c r="Q9">
        <v>65000</v>
      </c>
      <c r="T9">
        <v>2300</v>
      </c>
      <c r="U9">
        <v>8000</v>
      </c>
      <c r="V9">
        <v>7722</v>
      </c>
      <c r="X9">
        <v>2000</v>
      </c>
      <c r="AA9">
        <v>85022</v>
      </c>
      <c r="AB9">
        <f t="shared" si="0"/>
        <v>0</v>
      </c>
    </row>
    <row r="10" spans="1:28" x14ac:dyDescent="0.25">
      <c r="A10">
        <v>4911</v>
      </c>
      <c r="B10" t="s">
        <v>8</v>
      </c>
      <c r="C10" s="1">
        <v>44200</v>
      </c>
      <c r="D10">
        <v>297</v>
      </c>
      <c r="E10" t="s">
        <v>1</v>
      </c>
      <c r="F10" t="s">
        <v>9</v>
      </c>
      <c r="G10" t="s">
        <v>3</v>
      </c>
      <c r="H10">
        <v>173807</v>
      </c>
      <c r="I10">
        <v>0</v>
      </c>
      <c r="J10">
        <v>31285</v>
      </c>
      <c r="K10">
        <v>205092</v>
      </c>
      <c r="L10" t="s">
        <v>23</v>
      </c>
      <c r="M10" s="2">
        <v>44200</v>
      </c>
      <c r="O10">
        <v>4911</v>
      </c>
      <c r="P10" s="3">
        <v>44200</v>
      </c>
      <c r="Q10">
        <v>130000</v>
      </c>
      <c r="S10">
        <v>8125</v>
      </c>
      <c r="T10">
        <v>2300</v>
      </c>
      <c r="U10">
        <v>4000</v>
      </c>
      <c r="V10">
        <v>19382</v>
      </c>
      <c r="W10">
        <v>0</v>
      </c>
      <c r="X10">
        <v>10000</v>
      </c>
      <c r="AA10">
        <v>173807</v>
      </c>
      <c r="AB10">
        <f t="shared" si="0"/>
        <v>0</v>
      </c>
    </row>
    <row r="11" spans="1:28" x14ac:dyDescent="0.25">
      <c r="A11">
        <v>4942</v>
      </c>
      <c r="B11" t="s">
        <v>18</v>
      </c>
      <c r="C11" s="1">
        <v>44200</v>
      </c>
      <c r="D11">
        <v>295</v>
      </c>
      <c r="E11" t="s">
        <v>1</v>
      </c>
      <c r="F11" t="s">
        <v>19</v>
      </c>
      <c r="G11" t="s">
        <v>20</v>
      </c>
      <c r="H11">
        <v>81166</v>
      </c>
      <c r="I11">
        <v>0</v>
      </c>
      <c r="J11">
        <v>14610</v>
      </c>
      <c r="K11">
        <v>95776</v>
      </c>
      <c r="L11" t="s">
        <v>24</v>
      </c>
      <c r="M11" s="2">
        <v>44200</v>
      </c>
      <c r="O11">
        <v>4942</v>
      </c>
      <c r="P11" s="3">
        <v>44200</v>
      </c>
      <c r="Q11">
        <v>60000</v>
      </c>
      <c r="T11">
        <v>2300</v>
      </c>
      <c r="U11">
        <v>2000</v>
      </c>
      <c r="V11">
        <v>8866</v>
      </c>
      <c r="X11">
        <v>8000</v>
      </c>
      <c r="AA11">
        <v>81166</v>
      </c>
      <c r="AB11">
        <f t="shared" si="0"/>
        <v>0</v>
      </c>
    </row>
    <row r="12" spans="1:28" x14ac:dyDescent="0.25">
      <c r="A12">
        <v>5066</v>
      </c>
      <c r="B12" t="s">
        <v>5</v>
      </c>
      <c r="C12" s="1">
        <v>44200</v>
      </c>
      <c r="D12">
        <v>298</v>
      </c>
      <c r="E12" t="s">
        <v>1</v>
      </c>
      <c r="F12" t="s">
        <v>2</v>
      </c>
      <c r="G12" t="s">
        <v>6</v>
      </c>
      <c r="H12">
        <v>92203</v>
      </c>
      <c r="I12">
        <v>0</v>
      </c>
      <c r="J12">
        <v>16597</v>
      </c>
      <c r="K12">
        <v>108800</v>
      </c>
      <c r="L12" t="s">
        <v>25</v>
      </c>
      <c r="M12" s="2">
        <v>44200</v>
      </c>
      <c r="O12">
        <v>5066</v>
      </c>
      <c r="P12" s="3">
        <v>44200</v>
      </c>
      <c r="Q12">
        <v>75833</v>
      </c>
      <c r="T12">
        <v>2300</v>
      </c>
      <c r="U12">
        <v>8000</v>
      </c>
      <c r="V12">
        <v>4070</v>
      </c>
      <c r="X12">
        <v>2000</v>
      </c>
      <c r="AA12">
        <v>92203</v>
      </c>
      <c r="AB12">
        <f t="shared" si="0"/>
        <v>0</v>
      </c>
    </row>
    <row r="13" spans="1:28" x14ac:dyDescent="0.25">
      <c r="A13">
        <v>5067</v>
      </c>
      <c r="B13" t="s">
        <v>5</v>
      </c>
      <c r="C13" s="1">
        <v>44201</v>
      </c>
      <c r="D13">
        <v>299</v>
      </c>
      <c r="E13" t="s">
        <v>1</v>
      </c>
      <c r="F13" t="s">
        <v>2</v>
      </c>
      <c r="G13" t="s">
        <v>6</v>
      </c>
      <c r="H13">
        <v>84514</v>
      </c>
      <c r="I13">
        <v>0</v>
      </c>
      <c r="J13">
        <v>15213</v>
      </c>
      <c r="K13">
        <v>99727</v>
      </c>
      <c r="L13" t="s">
        <v>26</v>
      </c>
      <c r="M13" s="2">
        <v>44201</v>
      </c>
      <c r="O13">
        <v>5067</v>
      </c>
      <c r="P13" s="3">
        <v>44201</v>
      </c>
      <c r="Q13">
        <v>65000</v>
      </c>
      <c r="T13">
        <v>2300</v>
      </c>
      <c r="U13">
        <v>10000</v>
      </c>
      <c r="V13">
        <v>5214</v>
      </c>
      <c r="X13">
        <v>2000</v>
      </c>
      <c r="AA13">
        <v>84514</v>
      </c>
      <c r="AB13">
        <f t="shared" si="0"/>
        <v>0</v>
      </c>
    </row>
    <row r="14" spans="1:28" x14ac:dyDescent="0.25">
      <c r="A14">
        <v>8923</v>
      </c>
      <c r="B14" t="s">
        <v>27</v>
      </c>
      <c r="C14" s="1">
        <v>44201</v>
      </c>
      <c r="D14">
        <v>296</v>
      </c>
      <c r="E14" t="s">
        <v>1</v>
      </c>
      <c r="F14" t="s">
        <v>19</v>
      </c>
      <c r="G14" t="s">
        <v>20</v>
      </c>
      <c r="H14">
        <v>32300</v>
      </c>
      <c r="I14">
        <v>0</v>
      </c>
      <c r="J14">
        <v>5814</v>
      </c>
      <c r="K14">
        <v>38114</v>
      </c>
      <c r="L14" t="s">
        <v>28</v>
      </c>
      <c r="M14" s="2">
        <v>44201</v>
      </c>
      <c r="O14">
        <v>8923</v>
      </c>
      <c r="P14" s="3">
        <v>44201</v>
      </c>
      <c r="S14">
        <v>30000</v>
      </c>
      <c r="T14">
        <v>2300</v>
      </c>
      <c r="AA14">
        <v>32300</v>
      </c>
      <c r="AB14">
        <f t="shared" si="0"/>
        <v>0</v>
      </c>
    </row>
    <row r="15" spans="1:28" x14ac:dyDescent="0.25">
      <c r="A15">
        <v>4945</v>
      </c>
      <c r="B15" t="s">
        <v>29</v>
      </c>
      <c r="C15" s="1">
        <v>44203</v>
      </c>
      <c r="D15">
        <v>312</v>
      </c>
      <c r="E15" t="s">
        <v>30</v>
      </c>
      <c r="F15" t="s">
        <v>9</v>
      </c>
      <c r="G15" t="s">
        <v>20</v>
      </c>
      <c r="H15">
        <v>59700</v>
      </c>
      <c r="I15">
        <v>0</v>
      </c>
      <c r="J15">
        <v>10746</v>
      </c>
      <c r="K15">
        <v>70446</v>
      </c>
      <c r="L15" t="s">
        <v>31</v>
      </c>
      <c r="M15" s="2">
        <v>44203</v>
      </c>
      <c r="O15">
        <v>4945</v>
      </c>
      <c r="P15" s="3">
        <v>44203</v>
      </c>
      <c r="Q15">
        <v>40000</v>
      </c>
      <c r="T15">
        <v>1700</v>
      </c>
      <c r="V15">
        <v>0</v>
      </c>
      <c r="X15">
        <v>18000</v>
      </c>
      <c r="AA15">
        <v>59700</v>
      </c>
      <c r="AB15">
        <f t="shared" si="0"/>
        <v>0</v>
      </c>
    </row>
    <row r="16" spans="1:28" x14ac:dyDescent="0.25">
      <c r="A16">
        <v>4915</v>
      </c>
      <c r="B16" t="s">
        <v>32</v>
      </c>
      <c r="C16" s="1">
        <v>44204</v>
      </c>
      <c r="D16">
        <v>314</v>
      </c>
      <c r="E16" t="s">
        <v>1</v>
      </c>
      <c r="F16" t="s">
        <v>33</v>
      </c>
      <c r="G16" t="s">
        <v>3</v>
      </c>
      <c r="H16">
        <v>35086</v>
      </c>
      <c r="I16">
        <v>0</v>
      </c>
      <c r="J16">
        <v>6315</v>
      </c>
      <c r="K16">
        <v>41401</v>
      </c>
      <c r="L16" t="s">
        <v>34</v>
      </c>
      <c r="M16" s="2">
        <v>44204</v>
      </c>
      <c r="O16">
        <v>4915</v>
      </c>
      <c r="P16" s="3">
        <v>44204</v>
      </c>
      <c r="R16">
        <v>32500</v>
      </c>
      <c r="T16">
        <v>2300</v>
      </c>
      <c r="V16">
        <v>286</v>
      </c>
      <c r="AA16">
        <v>35086</v>
      </c>
      <c r="AB16">
        <f t="shared" si="0"/>
        <v>0</v>
      </c>
    </row>
    <row r="17" spans="1:28" x14ac:dyDescent="0.25">
      <c r="A17">
        <v>4946</v>
      </c>
      <c r="B17" t="s">
        <v>29</v>
      </c>
      <c r="C17" s="1">
        <v>44204</v>
      </c>
      <c r="D17">
        <v>313</v>
      </c>
      <c r="E17" t="s">
        <v>30</v>
      </c>
      <c r="F17" t="s">
        <v>9</v>
      </c>
      <c r="G17" t="s">
        <v>20</v>
      </c>
      <c r="H17">
        <v>57700</v>
      </c>
      <c r="I17">
        <v>0</v>
      </c>
      <c r="J17">
        <v>10386</v>
      </c>
      <c r="K17">
        <v>68086</v>
      </c>
      <c r="L17" t="s">
        <v>35</v>
      </c>
      <c r="M17" s="2">
        <v>44204</v>
      </c>
      <c r="O17">
        <v>4946</v>
      </c>
      <c r="P17" s="3">
        <v>44204</v>
      </c>
      <c r="Q17">
        <v>40000</v>
      </c>
      <c r="T17">
        <v>1700</v>
      </c>
      <c r="X17">
        <v>16000</v>
      </c>
      <c r="AA17">
        <v>57700</v>
      </c>
      <c r="AB17">
        <f t="shared" si="0"/>
        <v>0</v>
      </c>
    </row>
    <row r="18" spans="1:28" x14ac:dyDescent="0.25">
      <c r="A18">
        <v>4916</v>
      </c>
      <c r="B18" t="s">
        <v>32</v>
      </c>
      <c r="C18" s="1">
        <v>44205</v>
      </c>
      <c r="D18">
        <v>315</v>
      </c>
      <c r="E18" t="s">
        <v>1</v>
      </c>
      <c r="F18" t="s">
        <v>33</v>
      </c>
      <c r="G18" t="s">
        <v>3</v>
      </c>
      <c r="H18">
        <v>88588</v>
      </c>
      <c r="I18">
        <v>0</v>
      </c>
      <c r="J18">
        <v>15946</v>
      </c>
      <c r="K18">
        <v>104534</v>
      </c>
      <c r="L18" t="s">
        <v>36</v>
      </c>
      <c r="M18" s="2">
        <v>44205</v>
      </c>
      <c r="O18">
        <v>4916</v>
      </c>
      <c r="P18" s="3">
        <v>44205</v>
      </c>
      <c r="Q18">
        <v>65000</v>
      </c>
      <c r="T18">
        <v>2300</v>
      </c>
      <c r="U18">
        <v>4000</v>
      </c>
      <c r="V18">
        <v>13288</v>
      </c>
      <c r="X18">
        <v>4000</v>
      </c>
      <c r="AA18">
        <v>88588</v>
      </c>
      <c r="AB18">
        <f t="shared" si="0"/>
        <v>0</v>
      </c>
    </row>
    <row r="19" spans="1:28" x14ac:dyDescent="0.25">
      <c r="A19">
        <v>5009</v>
      </c>
      <c r="B19" t="s">
        <v>37</v>
      </c>
      <c r="C19" s="1">
        <v>44205</v>
      </c>
      <c r="D19">
        <v>316</v>
      </c>
      <c r="E19" t="s">
        <v>38</v>
      </c>
      <c r="F19" t="s">
        <v>39</v>
      </c>
      <c r="G19" t="s">
        <v>40</v>
      </c>
      <c r="H19">
        <v>149160</v>
      </c>
      <c r="I19">
        <v>0</v>
      </c>
      <c r="J19">
        <v>26849</v>
      </c>
      <c r="K19">
        <v>176009</v>
      </c>
      <c r="L19" t="s">
        <v>41</v>
      </c>
      <c r="M19" s="2">
        <v>44205</v>
      </c>
      <c r="O19">
        <v>5009</v>
      </c>
      <c r="P19" s="3">
        <v>44205</v>
      </c>
      <c r="Q19">
        <v>145000</v>
      </c>
      <c r="T19">
        <v>3500</v>
      </c>
      <c r="V19">
        <v>660</v>
      </c>
      <c r="AA19">
        <v>149160</v>
      </c>
      <c r="AB19">
        <f t="shared" si="0"/>
        <v>0</v>
      </c>
    </row>
    <row r="20" spans="1:28" x14ac:dyDescent="0.25">
      <c r="A20">
        <v>4948</v>
      </c>
      <c r="B20" t="s">
        <v>42</v>
      </c>
      <c r="C20" s="1">
        <v>44206</v>
      </c>
      <c r="D20">
        <v>319</v>
      </c>
      <c r="E20" t="s">
        <v>1</v>
      </c>
      <c r="F20" t="s">
        <v>9</v>
      </c>
      <c r="G20" t="s">
        <v>20</v>
      </c>
      <c r="H20">
        <v>110718</v>
      </c>
      <c r="I20">
        <v>0</v>
      </c>
      <c r="J20">
        <v>19929</v>
      </c>
      <c r="K20">
        <v>130647</v>
      </c>
      <c r="L20" t="s">
        <v>43</v>
      </c>
      <c r="M20" s="2">
        <v>44206</v>
      </c>
      <c r="O20">
        <v>4948</v>
      </c>
      <c r="P20" s="3">
        <v>44206</v>
      </c>
      <c r="Q20">
        <v>70000</v>
      </c>
      <c r="R20">
        <v>7500</v>
      </c>
      <c r="T20">
        <v>2300</v>
      </c>
      <c r="U20">
        <v>2000</v>
      </c>
      <c r="V20">
        <v>8668</v>
      </c>
      <c r="W20">
        <v>250</v>
      </c>
      <c r="X20">
        <v>20000</v>
      </c>
      <c r="AA20">
        <v>110718</v>
      </c>
      <c r="AB20">
        <f t="shared" si="0"/>
        <v>0</v>
      </c>
    </row>
    <row r="21" spans="1:28" x14ac:dyDescent="0.25">
      <c r="A21">
        <v>5010</v>
      </c>
      <c r="B21" t="s">
        <v>37</v>
      </c>
      <c r="C21" s="1">
        <v>44206</v>
      </c>
      <c r="D21">
        <v>318</v>
      </c>
      <c r="E21" t="s">
        <v>38</v>
      </c>
      <c r="F21" t="s">
        <v>39</v>
      </c>
      <c r="G21" t="s">
        <v>40</v>
      </c>
      <c r="H21">
        <v>149072</v>
      </c>
      <c r="I21">
        <v>0</v>
      </c>
      <c r="J21">
        <v>26833</v>
      </c>
      <c r="K21">
        <v>175905</v>
      </c>
      <c r="L21" t="s">
        <v>44</v>
      </c>
      <c r="M21" s="2">
        <v>44206</v>
      </c>
      <c r="O21">
        <v>5010</v>
      </c>
      <c r="P21" s="3">
        <v>44206</v>
      </c>
      <c r="Q21">
        <v>145000</v>
      </c>
      <c r="T21">
        <v>3500</v>
      </c>
      <c r="V21">
        <v>572</v>
      </c>
      <c r="AA21">
        <v>149072</v>
      </c>
      <c r="AB21">
        <f t="shared" si="0"/>
        <v>0</v>
      </c>
    </row>
    <row r="22" spans="1:28" x14ac:dyDescent="0.25">
      <c r="A22">
        <v>4918</v>
      </c>
      <c r="B22" t="s">
        <v>45</v>
      </c>
      <c r="C22" s="1">
        <v>44207</v>
      </c>
      <c r="D22">
        <v>322</v>
      </c>
      <c r="E22" t="s">
        <v>38</v>
      </c>
      <c r="F22" t="s">
        <v>46</v>
      </c>
      <c r="G22" t="s">
        <v>3</v>
      </c>
      <c r="H22">
        <v>44800</v>
      </c>
      <c r="I22">
        <v>0</v>
      </c>
      <c r="J22">
        <v>8064</v>
      </c>
      <c r="K22">
        <v>52864</v>
      </c>
      <c r="L22" t="s">
        <v>47</v>
      </c>
      <c r="M22" s="2">
        <v>44207</v>
      </c>
      <c r="O22">
        <v>4918</v>
      </c>
      <c r="P22" s="3">
        <v>44207</v>
      </c>
      <c r="R22">
        <v>42500</v>
      </c>
      <c r="T22">
        <v>2300</v>
      </c>
      <c r="AA22">
        <v>44800</v>
      </c>
      <c r="AB22">
        <f t="shared" si="0"/>
        <v>0</v>
      </c>
    </row>
    <row r="23" spans="1:28" x14ac:dyDescent="0.25">
      <c r="A23">
        <v>5011</v>
      </c>
      <c r="B23" t="s">
        <v>37</v>
      </c>
      <c r="C23" s="1">
        <v>44207</v>
      </c>
      <c r="D23">
        <v>323</v>
      </c>
      <c r="E23" t="s">
        <v>38</v>
      </c>
      <c r="F23" t="s">
        <v>39</v>
      </c>
      <c r="G23" t="s">
        <v>40</v>
      </c>
      <c r="H23">
        <v>168195</v>
      </c>
      <c r="I23">
        <v>0</v>
      </c>
      <c r="J23">
        <v>30275</v>
      </c>
      <c r="K23">
        <v>198470</v>
      </c>
      <c r="L23" t="s">
        <v>48</v>
      </c>
      <c r="M23" s="2">
        <v>44207</v>
      </c>
      <c r="O23">
        <v>5011</v>
      </c>
      <c r="P23" s="3">
        <v>44207</v>
      </c>
      <c r="Q23">
        <v>157083</v>
      </c>
      <c r="T23">
        <v>3500</v>
      </c>
      <c r="V23">
        <v>7612</v>
      </c>
      <c r="AA23">
        <v>168195</v>
      </c>
      <c r="AB23">
        <f t="shared" si="0"/>
        <v>0</v>
      </c>
    </row>
    <row r="24" spans="1:28" x14ac:dyDescent="0.25">
      <c r="A24">
        <v>5104</v>
      </c>
      <c r="B24" t="s">
        <v>49</v>
      </c>
      <c r="C24" s="1">
        <v>44207</v>
      </c>
      <c r="D24">
        <v>321</v>
      </c>
      <c r="E24" t="s">
        <v>12</v>
      </c>
      <c r="F24" t="s">
        <v>50</v>
      </c>
      <c r="G24" t="s">
        <v>51</v>
      </c>
      <c r="H24">
        <v>45174</v>
      </c>
      <c r="I24">
        <v>0</v>
      </c>
      <c r="J24">
        <v>8131</v>
      </c>
      <c r="K24">
        <v>53305</v>
      </c>
      <c r="L24" t="s">
        <v>58</v>
      </c>
      <c r="M24" s="2">
        <v>44207</v>
      </c>
      <c r="O24">
        <v>5104</v>
      </c>
      <c r="P24" s="3">
        <v>44207</v>
      </c>
      <c r="R24">
        <v>42500</v>
      </c>
      <c r="T24">
        <v>2300</v>
      </c>
      <c r="V24">
        <v>374</v>
      </c>
      <c r="AA24">
        <v>45174</v>
      </c>
      <c r="AB24">
        <f t="shared" si="0"/>
        <v>0</v>
      </c>
    </row>
    <row r="25" spans="1:28" x14ac:dyDescent="0.25">
      <c r="A25">
        <v>5135</v>
      </c>
      <c r="B25" t="s">
        <v>53</v>
      </c>
      <c r="C25" s="1">
        <v>44207</v>
      </c>
      <c r="D25">
        <v>320</v>
      </c>
      <c r="E25" t="s">
        <v>12</v>
      </c>
      <c r="F25" t="s">
        <v>54</v>
      </c>
      <c r="G25" t="s">
        <v>55</v>
      </c>
      <c r="H25">
        <v>213250</v>
      </c>
      <c r="I25">
        <v>-37000</v>
      </c>
      <c r="J25">
        <v>31725</v>
      </c>
      <c r="K25">
        <v>207975</v>
      </c>
      <c r="L25" t="s">
        <v>56</v>
      </c>
      <c r="M25" s="2">
        <v>44207</v>
      </c>
      <c r="O25">
        <v>5135</v>
      </c>
      <c r="P25" s="3">
        <v>44207</v>
      </c>
      <c r="Q25">
        <v>185000</v>
      </c>
      <c r="T25">
        <v>3500</v>
      </c>
      <c r="V25">
        <v>24750</v>
      </c>
      <c r="AA25">
        <v>213250</v>
      </c>
      <c r="AB25">
        <f t="shared" si="0"/>
        <v>0</v>
      </c>
    </row>
    <row r="26" spans="1:28" x14ac:dyDescent="0.25">
      <c r="A26">
        <v>4919</v>
      </c>
      <c r="B26" t="s">
        <v>45</v>
      </c>
      <c r="C26" s="1">
        <v>44208</v>
      </c>
      <c r="D26">
        <v>326</v>
      </c>
      <c r="E26" t="s">
        <v>38</v>
      </c>
      <c r="F26" t="s">
        <v>46</v>
      </c>
      <c r="G26" t="s">
        <v>3</v>
      </c>
      <c r="H26">
        <v>103328</v>
      </c>
      <c r="I26">
        <v>0</v>
      </c>
      <c r="J26">
        <v>18599</v>
      </c>
      <c r="K26">
        <v>121927</v>
      </c>
      <c r="L26" t="s">
        <v>59</v>
      </c>
      <c r="M26" s="2">
        <v>44208</v>
      </c>
      <c r="O26">
        <v>4919</v>
      </c>
      <c r="P26" s="3">
        <v>44208</v>
      </c>
      <c r="Q26">
        <v>85000</v>
      </c>
      <c r="T26">
        <v>2300</v>
      </c>
      <c r="U26">
        <v>2000</v>
      </c>
      <c r="V26">
        <v>6028</v>
      </c>
      <c r="X26">
        <v>8000</v>
      </c>
      <c r="AA26">
        <v>103328</v>
      </c>
      <c r="AB26">
        <f t="shared" si="0"/>
        <v>0</v>
      </c>
    </row>
    <row r="27" spans="1:28" x14ac:dyDescent="0.25">
      <c r="A27">
        <v>5012</v>
      </c>
      <c r="B27" t="s">
        <v>37</v>
      </c>
      <c r="C27" s="1">
        <v>44208</v>
      </c>
      <c r="D27">
        <v>324</v>
      </c>
      <c r="E27" t="s">
        <v>38</v>
      </c>
      <c r="F27" t="s">
        <v>39</v>
      </c>
      <c r="G27" t="s">
        <v>40</v>
      </c>
      <c r="H27">
        <v>174529</v>
      </c>
      <c r="I27">
        <v>0</v>
      </c>
      <c r="J27">
        <v>31415</v>
      </c>
      <c r="K27">
        <v>205944</v>
      </c>
      <c r="L27" t="s">
        <v>57</v>
      </c>
      <c r="M27" s="2">
        <v>44208</v>
      </c>
      <c r="O27">
        <v>5012</v>
      </c>
      <c r="P27" s="3">
        <v>44208</v>
      </c>
      <c r="Q27">
        <v>157083</v>
      </c>
      <c r="T27">
        <v>3500</v>
      </c>
      <c r="V27">
        <v>11946</v>
      </c>
      <c r="X27">
        <v>2000</v>
      </c>
      <c r="AA27">
        <v>174529</v>
      </c>
      <c r="AB27">
        <f t="shared" si="0"/>
        <v>0</v>
      </c>
    </row>
    <row r="28" spans="1:28" x14ac:dyDescent="0.25">
      <c r="A28">
        <v>5105</v>
      </c>
      <c r="B28" t="s">
        <v>49</v>
      </c>
      <c r="C28" s="1">
        <v>44208</v>
      </c>
      <c r="D28">
        <v>327</v>
      </c>
      <c r="E28" t="s">
        <v>12</v>
      </c>
      <c r="F28" t="s">
        <v>50</v>
      </c>
      <c r="G28" t="s">
        <v>51</v>
      </c>
      <c r="H28">
        <v>87674</v>
      </c>
      <c r="I28">
        <v>0</v>
      </c>
      <c r="J28">
        <v>15781</v>
      </c>
      <c r="K28">
        <v>103455</v>
      </c>
      <c r="L28" t="s">
        <v>60</v>
      </c>
      <c r="M28" s="2">
        <v>44208</v>
      </c>
      <c r="O28">
        <v>5105</v>
      </c>
      <c r="P28" s="3">
        <v>44208</v>
      </c>
      <c r="Q28">
        <v>85000</v>
      </c>
      <c r="T28">
        <v>2300</v>
      </c>
      <c r="V28">
        <v>374</v>
      </c>
      <c r="AA28">
        <v>87674</v>
      </c>
      <c r="AB28">
        <f t="shared" si="0"/>
        <v>0</v>
      </c>
    </row>
    <row r="29" spans="1:28" x14ac:dyDescent="0.25">
      <c r="A29">
        <v>5013</v>
      </c>
      <c r="B29" t="s">
        <v>37</v>
      </c>
      <c r="C29" s="1">
        <v>44209</v>
      </c>
      <c r="D29">
        <v>325</v>
      </c>
      <c r="E29" t="s">
        <v>38</v>
      </c>
      <c r="F29" t="s">
        <v>39</v>
      </c>
      <c r="G29" t="s">
        <v>40</v>
      </c>
      <c r="H29">
        <v>76000</v>
      </c>
      <c r="I29">
        <v>0</v>
      </c>
      <c r="J29">
        <v>13680</v>
      </c>
      <c r="K29">
        <v>89680</v>
      </c>
      <c r="L29" t="s">
        <v>61</v>
      </c>
      <c r="M29" s="2">
        <v>44209</v>
      </c>
      <c r="O29">
        <v>5013</v>
      </c>
      <c r="P29" s="3">
        <v>44209</v>
      </c>
      <c r="S29">
        <v>72500</v>
      </c>
      <c r="T29">
        <v>3500</v>
      </c>
      <c r="AA29">
        <v>76000</v>
      </c>
      <c r="AB29">
        <f t="shared" si="0"/>
        <v>0</v>
      </c>
    </row>
    <row r="30" spans="1:28" x14ac:dyDescent="0.25">
      <c r="A30">
        <v>5106</v>
      </c>
      <c r="B30" t="s">
        <v>49</v>
      </c>
      <c r="C30" s="1">
        <v>44209</v>
      </c>
      <c r="D30">
        <v>328</v>
      </c>
      <c r="E30" t="s">
        <v>12</v>
      </c>
      <c r="F30" t="s">
        <v>50</v>
      </c>
      <c r="G30" t="s">
        <v>51</v>
      </c>
      <c r="H30">
        <v>94934</v>
      </c>
      <c r="I30">
        <v>0</v>
      </c>
      <c r="J30">
        <v>17088</v>
      </c>
      <c r="K30">
        <v>112022</v>
      </c>
      <c r="L30" t="s">
        <v>62</v>
      </c>
      <c r="M30" s="2">
        <v>44209</v>
      </c>
      <c r="O30">
        <v>5106</v>
      </c>
      <c r="P30" s="3">
        <v>44209</v>
      </c>
      <c r="Q30">
        <v>85000</v>
      </c>
      <c r="T30">
        <v>2300</v>
      </c>
      <c r="V30">
        <v>7634</v>
      </c>
      <c r="AA30">
        <v>94934</v>
      </c>
      <c r="AB30">
        <f t="shared" si="0"/>
        <v>0</v>
      </c>
    </row>
    <row r="31" spans="1:28" x14ac:dyDescent="0.25">
      <c r="A31">
        <v>5107</v>
      </c>
      <c r="B31" t="s">
        <v>49</v>
      </c>
      <c r="C31" s="1">
        <v>44210</v>
      </c>
      <c r="D31">
        <v>329</v>
      </c>
      <c r="E31" t="s">
        <v>12</v>
      </c>
      <c r="F31" t="s">
        <v>50</v>
      </c>
      <c r="G31" t="s">
        <v>51</v>
      </c>
      <c r="H31">
        <v>111558</v>
      </c>
      <c r="I31">
        <v>0</v>
      </c>
      <c r="J31">
        <v>20080</v>
      </c>
      <c r="K31">
        <v>131638</v>
      </c>
      <c r="L31" t="s">
        <v>63</v>
      </c>
      <c r="M31" s="2">
        <v>44210</v>
      </c>
      <c r="O31">
        <v>5107</v>
      </c>
      <c r="P31" s="3">
        <v>44210</v>
      </c>
      <c r="Q31">
        <v>85000</v>
      </c>
      <c r="T31">
        <v>2300</v>
      </c>
      <c r="U31">
        <v>2000</v>
      </c>
      <c r="V31">
        <v>16258</v>
      </c>
      <c r="X31">
        <v>6000</v>
      </c>
      <c r="AA31">
        <v>111558</v>
      </c>
      <c r="AB31">
        <f t="shared" si="0"/>
        <v>0</v>
      </c>
    </row>
    <row r="32" spans="1:28" x14ac:dyDescent="0.25">
      <c r="A32">
        <v>4922</v>
      </c>
      <c r="B32" t="s">
        <v>64</v>
      </c>
      <c r="C32" s="1">
        <v>44211</v>
      </c>
      <c r="D32">
        <v>334</v>
      </c>
      <c r="E32" t="s">
        <v>1</v>
      </c>
      <c r="F32" t="s">
        <v>65</v>
      </c>
      <c r="G32" t="s">
        <v>3</v>
      </c>
      <c r="H32">
        <v>34800</v>
      </c>
      <c r="I32">
        <v>0</v>
      </c>
      <c r="J32">
        <v>6264</v>
      </c>
      <c r="K32">
        <v>41064</v>
      </c>
      <c r="L32" t="s">
        <v>66</v>
      </c>
      <c r="M32" s="2">
        <v>44211</v>
      </c>
      <c r="O32">
        <v>4922</v>
      </c>
      <c r="P32" s="3">
        <v>44211</v>
      </c>
      <c r="R32">
        <v>32500</v>
      </c>
      <c r="T32">
        <v>2300</v>
      </c>
      <c r="AA32">
        <v>34800</v>
      </c>
      <c r="AB32">
        <f t="shared" si="0"/>
        <v>0</v>
      </c>
    </row>
    <row r="33" spans="1:28" x14ac:dyDescent="0.25">
      <c r="A33">
        <v>4953</v>
      </c>
      <c r="B33" t="s">
        <v>67</v>
      </c>
      <c r="C33" s="1">
        <v>44211</v>
      </c>
      <c r="D33">
        <v>335</v>
      </c>
      <c r="E33" t="s">
        <v>1</v>
      </c>
      <c r="F33" t="s">
        <v>65</v>
      </c>
      <c r="G33" t="s">
        <v>20</v>
      </c>
      <c r="H33">
        <v>32652</v>
      </c>
      <c r="I33">
        <v>0</v>
      </c>
      <c r="J33">
        <v>5877</v>
      </c>
      <c r="K33">
        <v>38529</v>
      </c>
      <c r="L33" t="s">
        <v>68</v>
      </c>
      <c r="M33" s="2">
        <v>44211</v>
      </c>
      <c r="O33">
        <v>4953</v>
      </c>
      <c r="P33" s="3">
        <v>44211</v>
      </c>
      <c r="R33">
        <v>30000</v>
      </c>
      <c r="T33">
        <v>2300</v>
      </c>
      <c r="V33">
        <v>352</v>
      </c>
      <c r="AA33">
        <v>32652</v>
      </c>
      <c r="AB33">
        <f t="shared" si="0"/>
        <v>0</v>
      </c>
    </row>
    <row r="34" spans="1:28" x14ac:dyDescent="0.25">
      <c r="A34">
        <v>5108</v>
      </c>
      <c r="B34" t="s">
        <v>49</v>
      </c>
      <c r="C34" s="1">
        <v>44211</v>
      </c>
      <c r="D34">
        <v>330</v>
      </c>
      <c r="E34" t="s">
        <v>12</v>
      </c>
      <c r="F34" t="s">
        <v>50</v>
      </c>
      <c r="G34" t="s">
        <v>51</v>
      </c>
      <c r="H34">
        <v>44800</v>
      </c>
      <c r="I34">
        <v>0</v>
      </c>
      <c r="J34">
        <v>8064</v>
      </c>
      <c r="K34">
        <v>52864</v>
      </c>
      <c r="L34" t="s">
        <v>69</v>
      </c>
      <c r="M34" s="2">
        <v>44211</v>
      </c>
      <c r="O34">
        <v>5108</v>
      </c>
      <c r="P34" s="3">
        <v>44211</v>
      </c>
      <c r="S34">
        <v>42500</v>
      </c>
      <c r="T34">
        <v>2300</v>
      </c>
      <c r="AA34">
        <v>44800</v>
      </c>
      <c r="AB34">
        <f t="shared" si="0"/>
        <v>0</v>
      </c>
    </row>
    <row r="35" spans="1:28" x14ac:dyDescent="0.25">
      <c r="A35">
        <v>4923</v>
      </c>
      <c r="B35" t="s">
        <v>64</v>
      </c>
      <c r="C35" s="1">
        <v>44212</v>
      </c>
      <c r="D35">
        <v>343</v>
      </c>
      <c r="E35" t="s">
        <v>1</v>
      </c>
      <c r="F35" t="s">
        <v>65</v>
      </c>
      <c r="G35" t="s">
        <v>3</v>
      </c>
      <c r="H35">
        <v>80355</v>
      </c>
      <c r="I35">
        <v>0</v>
      </c>
      <c r="J35">
        <v>14464</v>
      </c>
      <c r="K35">
        <v>94819</v>
      </c>
      <c r="L35" t="s">
        <v>70</v>
      </c>
      <c r="M35" s="2">
        <v>44212</v>
      </c>
      <c r="O35">
        <v>4923</v>
      </c>
      <c r="P35" s="3">
        <v>44212</v>
      </c>
      <c r="Q35">
        <v>75021</v>
      </c>
      <c r="T35">
        <v>2300</v>
      </c>
      <c r="U35">
        <v>2000</v>
      </c>
      <c r="V35">
        <v>1034</v>
      </c>
      <c r="AA35">
        <v>80355</v>
      </c>
      <c r="AB35">
        <f t="shared" si="0"/>
        <v>0</v>
      </c>
    </row>
    <row r="36" spans="1:28" x14ac:dyDescent="0.25">
      <c r="A36">
        <v>4954</v>
      </c>
      <c r="B36" t="s">
        <v>71</v>
      </c>
      <c r="C36" s="1">
        <v>44212</v>
      </c>
      <c r="D36">
        <v>337</v>
      </c>
      <c r="E36" t="s">
        <v>1</v>
      </c>
      <c r="F36" t="s">
        <v>65</v>
      </c>
      <c r="G36" t="s">
        <v>20</v>
      </c>
      <c r="H36">
        <v>67118</v>
      </c>
      <c r="I36">
        <v>0</v>
      </c>
      <c r="J36">
        <v>12081</v>
      </c>
      <c r="K36">
        <v>79199</v>
      </c>
      <c r="L36" t="s">
        <v>72</v>
      </c>
      <c r="M36" s="2">
        <v>44212</v>
      </c>
      <c r="O36">
        <v>4954</v>
      </c>
      <c r="P36" s="3">
        <v>44212</v>
      </c>
      <c r="Q36">
        <v>60000</v>
      </c>
      <c r="T36">
        <v>2300</v>
      </c>
      <c r="V36">
        <v>4818</v>
      </c>
      <c r="AA36">
        <v>67118</v>
      </c>
      <c r="AB36">
        <f t="shared" si="0"/>
        <v>0</v>
      </c>
    </row>
    <row r="37" spans="1:28" x14ac:dyDescent="0.25">
      <c r="A37">
        <v>5140</v>
      </c>
      <c r="B37" t="s">
        <v>73</v>
      </c>
      <c r="C37" s="1">
        <v>44212</v>
      </c>
      <c r="D37">
        <v>336</v>
      </c>
      <c r="E37" t="s">
        <v>12</v>
      </c>
      <c r="F37" t="s">
        <v>74</v>
      </c>
      <c r="G37" t="s">
        <v>55</v>
      </c>
      <c r="H37">
        <v>97760</v>
      </c>
      <c r="I37">
        <v>0</v>
      </c>
      <c r="J37">
        <v>17597</v>
      </c>
      <c r="K37">
        <v>115357</v>
      </c>
      <c r="L37" t="s">
        <v>75</v>
      </c>
      <c r="M37" s="2">
        <v>44212</v>
      </c>
      <c r="O37">
        <v>5140</v>
      </c>
      <c r="P37" s="3">
        <v>44212</v>
      </c>
      <c r="R37">
        <v>92500</v>
      </c>
      <c r="T37">
        <v>3500</v>
      </c>
      <c r="V37">
        <v>1760</v>
      </c>
      <c r="AA37">
        <v>97760</v>
      </c>
      <c r="AB37">
        <f t="shared" si="0"/>
        <v>0</v>
      </c>
    </row>
    <row r="38" spans="1:28" x14ac:dyDescent="0.25">
      <c r="A38">
        <v>4924</v>
      </c>
      <c r="B38" t="s">
        <v>76</v>
      </c>
      <c r="C38" s="1">
        <v>44213</v>
      </c>
      <c r="D38">
        <v>340</v>
      </c>
      <c r="E38" t="s">
        <v>38</v>
      </c>
      <c r="F38" t="s">
        <v>77</v>
      </c>
      <c r="G38" t="s">
        <v>3</v>
      </c>
      <c r="H38">
        <v>138100</v>
      </c>
      <c r="I38">
        <v>0</v>
      </c>
      <c r="J38">
        <v>24858</v>
      </c>
      <c r="K38">
        <v>162958</v>
      </c>
      <c r="L38" t="s">
        <v>78</v>
      </c>
      <c r="M38" s="2">
        <v>44213</v>
      </c>
      <c r="O38">
        <v>4924</v>
      </c>
      <c r="P38" s="3">
        <v>44213</v>
      </c>
      <c r="Q38">
        <v>85000</v>
      </c>
      <c r="R38">
        <v>42500</v>
      </c>
      <c r="T38">
        <v>4600</v>
      </c>
      <c r="X38">
        <v>6000</v>
      </c>
      <c r="AA38">
        <v>138100</v>
      </c>
      <c r="AB38">
        <f t="shared" si="0"/>
        <v>0</v>
      </c>
    </row>
    <row r="39" spans="1:28" x14ac:dyDescent="0.25">
      <c r="A39">
        <v>4955</v>
      </c>
      <c r="B39" t="s">
        <v>71</v>
      </c>
      <c r="C39" s="1">
        <v>44213</v>
      </c>
      <c r="D39">
        <v>338</v>
      </c>
      <c r="E39" t="s">
        <v>1</v>
      </c>
      <c r="F39" t="s">
        <v>65</v>
      </c>
      <c r="G39" t="s">
        <v>20</v>
      </c>
      <c r="H39">
        <v>68300</v>
      </c>
      <c r="I39">
        <v>0</v>
      </c>
      <c r="J39">
        <v>12294</v>
      </c>
      <c r="K39">
        <v>80594</v>
      </c>
      <c r="L39" t="s">
        <v>79</v>
      </c>
      <c r="M39" s="2">
        <v>44213</v>
      </c>
      <c r="O39">
        <v>4955</v>
      </c>
      <c r="P39" s="3">
        <v>44213</v>
      </c>
      <c r="Q39">
        <v>60000</v>
      </c>
      <c r="T39">
        <v>2300</v>
      </c>
      <c r="U39">
        <v>2000</v>
      </c>
      <c r="X39">
        <v>4000</v>
      </c>
      <c r="AA39">
        <v>68300</v>
      </c>
      <c r="AB39">
        <f t="shared" si="0"/>
        <v>0</v>
      </c>
    </row>
    <row r="40" spans="1:28" x14ac:dyDescent="0.25">
      <c r="A40">
        <v>5048</v>
      </c>
      <c r="B40" t="s">
        <v>80</v>
      </c>
      <c r="C40" s="1">
        <v>44213</v>
      </c>
      <c r="D40">
        <v>342</v>
      </c>
      <c r="E40" t="s">
        <v>38</v>
      </c>
      <c r="F40" t="s">
        <v>81</v>
      </c>
      <c r="G40" t="s">
        <v>14</v>
      </c>
      <c r="H40">
        <v>292833</v>
      </c>
      <c r="I40">
        <v>-10000</v>
      </c>
      <c r="J40">
        <v>51810</v>
      </c>
      <c r="K40">
        <v>339643</v>
      </c>
      <c r="L40" t="s">
        <v>82</v>
      </c>
      <c r="M40" s="2">
        <v>44213</v>
      </c>
      <c r="O40">
        <v>5048</v>
      </c>
      <c r="P40" s="3">
        <v>44213</v>
      </c>
      <c r="Q40">
        <v>285833</v>
      </c>
      <c r="T40">
        <v>5000</v>
      </c>
      <c r="U40">
        <v>0</v>
      </c>
      <c r="AA40">
        <v>290833</v>
      </c>
      <c r="AB40">
        <f t="shared" si="0"/>
        <v>-2000</v>
      </c>
    </row>
    <row r="41" spans="1:28" x14ac:dyDescent="0.25">
      <c r="A41">
        <v>5141</v>
      </c>
      <c r="B41" t="s">
        <v>73</v>
      </c>
      <c r="C41" s="1">
        <v>44213</v>
      </c>
      <c r="D41">
        <v>339</v>
      </c>
      <c r="E41" t="s">
        <v>12</v>
      </c>
      <c r="F41" t="s">
        <v>74</v>
      </c>
      <c r="G41" t="s">
        <v>55</v>
      </c>
      <c r="H41">
        <v>190500</v>
      </c>
      <c r="I41">
        <v>0</v>
      </c>
      <c r="J41">
        <v>34290</v>
      </c>
      <c r="K41">
        <v>224790</v>
      </c>
      <c r="L41" t="s">
        <v>83</v>
      </c>
      <c r="M41" s="2">
        <v>44213</v>
      </c>
      <c r="O41">
        <v>5141</v>
      </c>
      <c r="P41" s="3">
        <v>44213</v>
      </c>
      <c r="Q41">
        <v>185000</v>
      </c>
      <c r="T41">
        <v>3500</v>
      </c>
      <c r="U41">
        <v>2000</v>
      </c>
      <c r="AA41">
        <v>190500</v>
      </c>
      <c r="AB41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opLeftCell="P1" workbookViewId="0">
      <selection activeCell="AC2" sqref="AC2"/>
    </sheetView>
  </sheetViews>
  <sheetFormatPr defaultRowHeight="15" x14ac:dyDescent="0.25"/>
  <sheetData>
    <row r="1" spans="1:28" x14ac:dyDescent="0.25">
      <c r="A1">
        <v>4924</v>
      </c>
      <c r="B1" t="s">
        <v>76</v>
      </c>
      <c r="C1" s="1">
        <v>44213</v>
      </c>
      <c r="D1">
        <v>340</v>
      </c>
      <c r="E1" t="s">
        <v>38</v>
      </c>
      <c r="F1" t="s">
        <v>77</v>
      </c>
      <c r="G1" t="s">
        <v>3</v>
      </c>
      <c r="H1">
        <v>138100</v>
      </c>
      <c r="I1">
        <v>0</v>
      </c>
      <c r="J1">
        <v>24858</v>
      </c>
      <c r="K1">
        <v>162958</v>
      </c>
      <c r="L1" t="s">
        <v>78</v>
      </c>
      <c r="M1" s="2">
        <v>44213</v>
      </c>
      <c r="O1">
        <v>4924</v>
      </c>
      <c r="P1" s="3">
        <v>44213</v>
      </c>
      <c r="Q1">
        <v>85000</v>
      </c>
      <c r="R1">
        <v>42500</v>
      </c>
      <c r="T1">
        <v>4600</v>
      </c>
      <c r="X1">
        <v>6000</v>
      </c>
      <c r="AA1">
        <v>138100</v>
      </c>
      <c r="AB1">
        <f>AA1-H1</f>
        <v>0</v>
      </c>
    </row>
    <row r="2" spans="1:28" x14ac:dyDescent="0.25">
      <c r="A2">
        <v>4955</v>
      </c>
      <c r="B2" t="s">
        <v>71</v>
      </c>
      <c r="C2" s="1">
        <v>44213</v>
      </c>
      <c r="D2">
        <v>338</v>
      </c>
      <c r="E2" t="s">
        <v>1</v>
      </c>
      <c r="F2" t="s">
        <v>65</v>
      </c>
      <c r="G2" t="s">
        <v>20</v>
      </c>
      <c r="H2">
        <v>68300</v>
      </c>
      <c r="I2">
        <v>0</v>
      </c>
      <c r="J2">
        <v>12294</v>
      </c>
      <c r="K2">
        <v>80594</v>
      </c>
      <c r="L2" t="s">
        <v>79</v>
      </c>
      <c r="M2" s="2">
        <v>44213</v>
      </c>
      <c r="O2">
        <v>4955</v>
      </c>
      <c r="P2" s="3">
        <v>44213</v>
      </c>
      <c r="Q2">
        <v>60000</v>
      </c>
      <c r="T2">
        <v>2300</v>
      </c>
      <c r="U2">
        <v>2000</v>
      </c>
      <c r="X2">
        <v>4000</v>
      </c>
      <c r="AA2">
        <v>68300</v>
      </c>
      <c r="AB2">
        <f t="shared" ref="AB2:AB4" si="0">AA2-H2</f>
        <v>0</v>
      </c>
    </row>
    <row r="3" spans="1:28" x14ac:dyDescent="0.25">
      <c r="A3">
        <v>5048</v>
      </c>
      <c r="B3" t="s">
        <v>80</v>
      </c>
      <c r="C3" s="1">
        <v>44213</v>
      </c>
      <c r="D3">
        <v>342</v>
      </c>
      <c r="E3" t="s">
        <v>38</v>
      </c>
      <c r="F3" t="s">
        <v>81</v>
      </c>
      <c r="G3" t="s">
        <v>14</v>
      </c>
      <c r="H3">
        <v>290833</v>
      </c>
      <c r="I3">
        <v>-10000</v>
      </c>
      <c r="J3">
        <v>51450</v>
      </c>
      <c r="K3">
        <v>337283</v>
      </c>
      <c r="L3" t="s">
        <v>82</v>
      </c>
      <c r="M3" s="2">
        <v>44213</v>
      </c>
      <c r="O3">
        <v>5048</v>
      </c>
      <c r="P3" s="3">
        <v>44213</v>
      </c>
      <c r="Q3">
        <v>285833</v>
      </c>
      <c r="T3">
        <v>5000</v>
      </c>
      <c r="U3">
        <v>0</v>
      </c>
      <c r="AA3">
        <v>290833</v>
      </c>
      <c r="AB3">
        <f t="shared" si="0"/>
        <v>0</v>
      </c>
    </row>
    <row r="4" spans="1:28" x14ac:dyDescent="0.25">
      <c r="A4">
        <v>5141</v>
      </c>
      <c r="B4" t="s">
        <v>73</v>
      </c>
      <c r="C4" s="1">
        <v>44213</v>
      </c>
      <c r="D4">
        <v>339</v>
      </c>
      <c r="E4" t="s">
        <v>12</v>
      </c>
      <c r="F4" t="s">
        <v>74</v>
      </c>
      <c r="G4" t="s">
        <v>55</v>
      </c>
      <c r="H4">
        <v>190500</v>
      </c>
      <c r="I4">
        <v>0</v>
      </c>
      <c r="J4">
        <v>34290</v>
      </c>
      <c r="K4">
        <v>224790</v>
      </c>
      <c r="L4" t="s">
        <v>83</v>
      </c>
      <c r="M4" s="2">
        <v>44213</v>
      </c>
      <c r="O4">
        <v>5141</v>
      </c>
      <c r="P4" s="3">
        <v>44213</v>
      </c>
      <c r="Q4">
        <v>185000</v>
      </c>
      <c r="T4">
        <v>3500</v>
      </c>
      <c r="U4">
        <v>2000</v>
      </c>
      <c r="AA4">
        <v>190500</v>
      </c>
      <c r="AB4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topLeftCell="A61" workbookViewId="0">
      <selection activeCell="C76" sqref="C76"/>
    </sheetView>
  </sheetViews>
  <sheetFormatPr defaultRowHeight="15" x14ac:dyDescent="0.25"/>
  <cols>
    <col min="1" max="1" width="15.140625" bestFit="1" customWidth="1"/>
  </cols>
  <sheetData>
    <row r="1" spans="1:3" x14ac:dyDescent="0.25">
      <c r="A1" s="5" t="s">
        <v>84</v>
      </c>
    </row>
    <row r="2" spans="1:3" x14ac:dyDescent="0.25">
      <c r="A2" s="5" t="s">
        <v>95</v>
      </c>
      <c r="B2">
        <v>336</v>
      </c>
      <c r="C2" s="4">
        <v>92500</v>
      </c>
    </row>
    <row r="3" spans="1:3" x14ac:dyDescent="0.25">
      <c r="A3" s="5" t="s">
        <v>84</v>
      </c>
    </row>
    <row r="4" spans="1:3" x14ac:dyDescent="0.25">
      <c r="A4" s="5" t="s">
        <v>96</v>
      </c>
      <c r="B4">
        <v>336</v>
      </c>
      <c r="C4" s="4">
        <v>96000</v>
      </c>
    </row>
    <row r="5" spans="1:3" x14ac:dyDescent="0.25">
      <c r="A5" s="5" t="s">
        <v>84</v>
      </c>
    </row>
    <row r="6" spans="1:3" x14ac:dyDescent="0.25">
      <c r="A6" s="5" t="s">
        <v>97</v>
      </c>
      <c r="B6">
        <v>336</v>
      </c>
      <c r="C6" s="4">
        <v>97760</v>
      </c>
    </row>
    <row r="7" spans="1:3" x14ac:dyDescent="0.25">
      <c r="A7" s="5" t="s">
        <v>84</v>
      </c>
    </row>
    <row r="8" spans="1:3" x14ac:dyDescent="0.25">
      <c r="A8" s="5" t="s">
        <v>98</v>
      </c>
      <c r="B8">
        <v>337</v>
      </c>
      <c r="C8" s="4">
        <v>60000</v>
      </c>
    </row>
    <row r="9" spans="1:3" x14ac:dyDescent="0.25">
      <c r="A9" s="5" t="s">
        <v>84</v>
      </c>
    </row>
    <row r="10" spans="1:3" x14ac:dyDescent="0.25">
      <c r="A10" s="5" t="s">
        <v>99</v>
      </c>
      <c r="B10">
        <v>337</v>
      </c>
      <c r="C10" s="4">
        <v>62300</v>
      </c>
    </row>
    <row r="11" spans="1:3" x14ac:dyDescent="0.25">
      <c r="A11" s="5" t="s">
        <v>84</v>
      </c>
    </row>
    <row r="12" spans="1:3" x14ac:dyDescent="0.25">
      <c r="A12" s="5" t="s">
        <v>100</v>
      </c>
      <c r="B12">
        <v>337</v>
      </c>
      <c r="C12" s="4">
        <v>67118</v>
      </c>
    </row>
    <row r="13" spans="1:3" x14ac:dyDescent="0.25">
      <c r="A13" s="5" t="s">
        <v>84</v>
      </c>
    </row>
    <row r="14" spans="1:3" x14ac:dyDescent="0.25">
      <c r="A14" s="5" t="s">
        <v>101</v>
      </c>
      <c r="B14">
        <v>338</v>
      </c>
      <c r="C14" s="4">
        <v>60000</v>
      </c>
    </row>
    <row r="15" spans="1:3" x14ac:dyDescent="0.25">
      <c r="A15" s="5" t="s">
        <v>84</v>
      </c>
    </row>
    <row r="16" spans="1:3" x14ac:dyDescent="0.25">
      <c r="A16" s="5" t="s">
        <v>102</v>
      </c>
      <c r="B16">
        <v>338</v>
      </c>
      <c r="C16" s="4">
        <v>62300</v>
      </c>
    </row>
    <row r="17" spans="1:3" x14ac:dyDescent="0.25">
      <c r="A17" s="5" t="s">
        <v>84</v>
      </c>
    </row>
    <row r="18" spans="1:3" x14ac:dyDescent="0.25">
      <c r="A18" s="5" t="s">
        <v>103</v>
      </c>
      <c r="B18">
        <v>338</v>
      </c>
      <c r="C18" s="4">
        <v>66300</v>
      </c>
    </row>
    <row r="19" spans="1:3" x14ac:dyDescent="0.25">
      <c r="A19" s="5" t="s">
        <v>84</v>
      </c>
    </row>
    <row r="20" spans="1:3" x14ac:dyDescent="0.25">
      <c r="A20" s="5" t="s">
        <v>104</v>
      </c>
      <c r="B20">
        <v>338</v>
      </c>
      <c r="C20" s="4">
        <v>68300</v>
      </c>
    </row>
    <row r="21" spans="1:3" x14ac:dyDescent="0.25">
      <c r="A21" s="5" t="s">
        <v>84</v>
      </c>
    </row>
    <row r="22" spans="1:3" x14ac:dyDescent="0.25">
      <c r="A22" s="5" t="s">
        <v>105</v>
      </c>
      <c r="B22">
        <v>339</v>
      </c>
      <c r="C22" t="s">
        <v>85</v>
      </c>
    </row>
    <row r="23" spans="1:3" x14ac:dyDescent="0.25">
      <c r="A23" s="5" t="s">
        <v>84</v>
      </c>
    </row>
    <row r="24" spans="1:3" x14ac:dyDescent="0.25">
      <c r="A24" s="5" t="s">
        <v>106</v>
      </c>
      <c r="B24">
        <v>339</v>
      </c>
      <c r="C24" t="s">
        <v>86</v>
      </c>
    </row>
    <row r="25" spans="1:3" x14ac:dyDescent="0.25">
      <c r="A25" s="5" t="s">
        <v>84</v>
      </c>
    </row>
    <row r="26" spans="1:3" x14ac:dyDescent="0.25">
      <c r="A26" s="5" t="s">
        <v>107</v>
      </c>
      <c r="B26">
        <v>339</v>
      </c>
      <c r="C26" t="s">
        <v>87</v>
      </c>
    </row>
    <row r="27" spans="1:3" x14ac:dyDescent="0.25">
      <c r="A27" s="5" t="s">
        <v>84</v>
      </c>
    </row>
    <row r="28" spans="1:3" x14ac:dyDescent="0.25">
      <c r="A28" s="5" t="s">
        <v>108</v>
      </c>
      <c r="B28">
        <v>340</v>
      </c>
      <c r="C28" t="s">
        <v>88</v>
      </c>
    </row>
    <row r="29" spans="1:3" x14ac:dyDescent="0.25">
      <c r="A29" s="5" t="s">
        <v>84</v>
      </c>
    </row>
    <row r="30" spans="1:3" x14ac:dyDescent="0.25">
      <c r="A30" s="5" t="s">
        <v>109</v>
      </c>
      <c r="B30">
        <v>340</v>
      </c>
      <c r="C30" t="s">
        <v>89</v>
      </c>
    </row>
    <row r="31" spans="1:3" x14ac:dyDescent="0.25">
      <c r="A31" s="5" t="s">
        <v>84</v>
      </c>
    </row>
    <row r="32" spans="1:3" x14ac:dyDescent="0.25">
      <c r="A32" s="5" t="s">
        <v>110</v>
      </c>
      <c r="B32">
        <v>340</v>
      </c>
      <c r="C32" t="s">
        <v>90</v>
      </c>
    </row>
    <row r="33" spans="1:3" x14ac:dyDescent="0.25">
      <c r="A33" s="5" t="s">
        <v>84</v>
      </c>
    </row>
    <row r="34" spans="1:3" x14ac:dyDescent="0.25">
      <c r="A34" s="5" t="s">
        <v>111</v>
      </c>
      <c r="B34">
        <v>340</v>
      </c>
      <c r="C34" t="s">
        <v>90</v>
      </c>
    </row>
    <row r="35" spans="1:3" x14ac:dyDescent="0.25">
      <c r="A35" s="5" t="s">
        <v>84</v>
      </c>
    </row>
    <row r="36" spans="1:3" x14ac:dyDescent="0.25">
      <c r="A36" s="5" t="s">
        <v>112</v>
      </c>
      <c r="B36">
        <v>333</v>
      </c>
      <c r="C36" s="4">
        <v>32300</v>
      </c>
    </row>
    <row r="37" spans="1:3" x14ac:dyDescent="0.25">
      <c r="A37" s="5" t="s">
        <v>84</v>
      </c>
    </row>
    <row r="38" spans="1:3" x14ac:dyDescent="0.25">
      <c r="A38" s="5" t="s">
        <v>113</v>
      </c>
      <c r="B38">
        <v>333</v>
      </c>
      <c r="C38" s="4">
        <v>32300</v>
      </c>
    </row>
    <row r="39" spans="1:3" x14ac:dyDescent="0.25">
      <c r="A39" s="5" t="s">
        <v>84</v>
      </c>
    </row>
    <row r="40" spans="1:3" x14ac:dyDescent="0.25">
      <c r="A40" s="5" t="s">
        <v>114</v>
      </c>
      <c r="B40">
        <v>341</v>
      </c>
      <c r="C40" s="4">
        <v>30000</v>
      </c>
    </row>
    <row r="41" spans="1:3" x14ac:dyDescent="0.25">
      <c r="A41" s="5" t="s">
        <v>84</v>
      </c>
    </row>
    <row r="42" spans="1:3" x14ac:dyDescent="0.25">
      <c r="A42" s="5" t="s">
        <v>115</v>
      </c>
      <c r="B42">
        <v>341</v>
      </c>
      <c r="C42" s="4">
        <v>32300</v>
      </c>
    </row>
    <row r="43" spans="1:3" x14ac:dyDescent="0.25">
      <c r="A43" s="5" t="s">
        <v>84</v>
      </c>
    </row>
    <row r="44" spans="1:3" x14ac:dyDescent="0.25">
      <c r="A44" s="5" t="s">
        <v>116</v>
      </c>
      <c r="B44">
        <v>342</v>
      </c>
      <c r="C44" t="s">
        <v>91</v>
      </c>
    </row>
    <row r="45" spans="1:3" x14ac:dyDescent="0.25">
      <c r="A45" s="5" t="s">
        <v>84</v>
      </c>
    </row>
    <row r="46" spans="1:3" x14ac:dyDescent="0.25">
      <c r="A46" s="5" t="s">
        <v>117</v>
      </c>
      <c r="B46">
        <v>342</v>
      </c>
      <c r="C46" t="s">
        <v>92</v>
      </c>
    </row>
    <row r="47" spans="1:3" x14ac:dyDescent="0.25">
      <c r="A47" s="5" t="s">
        <v>84</v>
      </c>
    </row>
    <row r="48" spans="1:3" x14ac:dyDescent="0.25">
      <c r="A48" s="5" t="s">
        <v>118</v>
      </c>
      <c r="B48">
        <v>342</v>
      </c>
      <c r="C48" t="s">
        <v>92</v>
      </c>
    </row>
    <row r="49" spans="1:3" x14ac:dyDescent="0.25">
      <c r="A49" s="5" t="s">
        <v>84</v>
      </c>
    </row>
    <row r="50" spans="1:3" x14ac:dyDescent="0.25">
      <c r="A50" s="5" t="s">
        <v>119</v>
      </c>
      <c r="B50">
        <v>342</v>
      </c>
      <c r="C50" t="s">
        <v>93</v>
      </c>
    </row>
    <row r="51" spans="1:3" x14ac:dyDescent="0.25">
      <c r="A51" s="5" t="s">
        <v>84</v>
      </c>
    </row>
    <row r="52" spans="1:3" x14ac:dyDescent="0.25">
      <c r="A52" s="5" t="s">
        <v>120</v>
      </c>
      <c r="B52">
        <v>342</v>
      </c>
      <c r="C52" t="s">
        <v>94</v>
      </c>
    </row>
    <row r="53" spans="1:3" x14ac:dyDescent="0.25">
      <c r="A53" s="5" t="s">
        <v>84</v>
      </c>
    </row>
    <row r="54" spans="1:3" x14ac:dyDescent="0.25">
      <c r="A54" s="5" t="s">
        <v>121</v>
      </c>
      <c r="B54">
        <v>342</v>
      </c>
      <c r="C54" t="s">
        <v>93</v>
      </c>
    </row>
    <row r="55" spans="1:3" x14ac:dyDescent="0.25">
      <c r="A55" s="5" t="s">
        <v>84</v>
      </c>
    </row>
    <row r="56" spans="1:3" x14ac:dyDescent="0.25">
      <c r="A56" s="5" t="s">
        <v>122</v>
      </c>
      <c r="B56">
        <v>343</v>
      </c>
      <c r="C56" s="4">
        <v>75833</v>
      </c>
    </row>
    <row r="57" spans="1:3" x14ac:dyDescent="0.25">
      <c r="A57" s="5" t="s">
        <v>84</v>
      </c>
    </row>
    <row r="58" spans="1:3" x14ac:dyDescent="0.25">
      <c r="A58" s="5" t="s">
        <v>123</v>
      </c>
      <c r="B58">
        <v>343</v>
      </c>
      <c r="C58" s="4">
        <v>73125</v>
      </c>
    </row>
    <row r="59" spans="1:3" x14ac:dyDescent="0.25">
      <c r="A59" s="5" t="s">
        <v>84</v>
      </c>
    </row>
    <row r="60" spans="1:3" x14ac:dyDescent="0.25">
      <c r="A60" s="5" t="s">
        <v>124</v>
      </c>
      <c r="B60">
        <v>343</v>
      </c>
      <c r="C60" s="4">
        <v>75425</v>
      </c>
    </row>
    <row r="61" spans="1:3" x14ac:dyDescent="0.25">
      <c r="A61" s="5" t="s">
        <v>84</v>
      </c>
    </row>
    <row r="62" spans="1:3" x14ac:dyDescent="0.25">
      <c r="A62" s="5" t="s">
        <v>125</v>
      </c>
      <c r="B62">
        <v>343</v>
      </c>
      <c r="C62" s="4">
        <v>77425</v>
      </c>
    </row>
    <row r="63" spans="1:3" x14ac:dyDescent="0.25">
      <c r="A63" s="5" t="s">
        <v>84</v>
      </c>
    </row>
    <row r="64" spans="1:3" x14ac:dyDescent="0.25">
      <c r="A64" s="5" t="s">
        <v>126</v>
      </c>
      <c r="B64">
        <v>343</v>
      </c>
      <c r="C64" s="4">
        <v>78459</v>
      </c>
    </row>
    <row r="65" spans="1:3" x14ac:dyDescent="0.25">
      <c r="A65" s="5" t="s">
        <v>84</v>
      </c>
    </row>
    <row r="66" spans="1:3" x14ac:dyDescent="0.25">
      <c r="A66" s="5" t="s">
        <v>127</v>
      </c>
      <c r="B66">
        <v>343</v>
      </c>
      <c r="C66" s="4">
        <v>80355</v>
      </c>
    </row>
    <row r="67" spans="1:3" x14ac:dyDescent="0.25">
      <c r="A67" s="5" t="s">
        <v>84</v>
      </c>
    </row>
    <row r="68" spans="1:3" x14ac:dyDescent="0.25">
      <c r="A68" s="5" t="s">
        <v>128</v>
      </c>
      <c r="B68">
        <v>343</v>
      </c>
      <c r="C68" s="4">
        <v>80355</v>
      </c>
    </row>
    <row r="69" spans="1:3" x14ac:dyDescent="0.25">
      <c r="A69" s="5" t="s">
        <v>84</v>
      </c>
    </row>
    <row r="70" spans="1:3" x14ac:dyDescent="0.25">
      <c r="A70" s="5" t="s">
        <v>129</v>
      </c>
      <c r="B70">
        <v>343</v>
      </c>
      <c r="C70" s="4">
        <v>75021</v>
      </c>
    </row>
    <row r="71" spans="1:3" x14ac:dyDescent="0.25">
      <c r="A71" s="5" t="s">
        <v>84</v>
      </c>
    </row>
    <row r="72" spans="1:3" x14ac:dyDescent="0.25">
      <c r="A72" s="5" t="s">
        <v>130</v>
      </c>
      <c r="B72">
        <v>343</v>
      </c>
      <c r="C72" s="4">
        <v>77321</v>
      </c>
    </row>
    <row r="73" spans="1:3" x14ac:dyDescent="0.25">
      <c r="A73" s="5" t="s">
        <v>84</v>
      </c>
    </row>
    <row r="74" spans="1:3" x14ac:dyDescent="0.25">
      <c r="A74" s="5" t="s">
        <v>131</v>
      </c>
      <c r="B74">
        <v>343</v>
      </c>
      <c r="C74" s="4">
        <v>79321</v>
      </c>
    </row>
    <row r="75" spans="1:3" x14ac:dyDescent="0.25">
      <c r="A75" s="5" t="s">
        <v>84</v>
      </c>
    </row>
    <row r="76" spans="1:3" x14ac:dyDescent="0.25">
      <c r="A76" s="5" t="s">
        <v>132</v>
      </c>
      <c r="B76">
        <v>343</v>
      </c>
      <c r="C76" s="4">
        <v>80355</v>
      </c>
    </row>
    <row r="77" spans="1:3" x14ac:dyDescent="0.25">
      <c r="A77" s="5" t="s">
        <v>84</v>
      </c>
    </row>
    <row r="78" spans="1:3" x14ac:dyDescent="0.25">
      <c r="A78" s="5" t="s">
        <v>133</v>
      </c>
      <c r="B78">
        <v>343</v>
      </c>
      <c r="C78" s="4">
        <v>80355</v>
      </c>
    </row>
    <row r="79" spans="1:3" x14ac:dyDescent="0.25">
      <c r="A79" s="5" t="s">
        <v>84</v>
      </c>
    </row>
    <row r="80" spans="1:3" x14ac:dyDescent="0.25">
      <c r="A80" s="5" t="s">
        <v>134</v>
      </c>
      <c r="B80">
        <v>342</v>
      </c>
      <c r="C8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2021-01-12T09:23:11Z</dcterms:created>
  <dcterms:modified xsi:type="dcterms:W3CDTF">2021-01-17T16:05:47Z</dcterms:modified>
</cp:coreProperties>
</file>