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true_ellora\phase_2\"/>
    </mc:Choice>
  </mc:AlternateContent>
  <bookViews>
    <workbookView xWindow="0" yWindow="0" windowWidth="20490" windowHeight="7905" firstSheet="1" activeTab="1"/>
  </bookViews>
  <sheets>
    <sheet name="2019-20" sheetId="1" r:id="rId1"/>
    <sheet name="Essel Vision Produc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2" l="1"/>
  <c r="P13" i="2"/>
  <c r="P10" i="2"/>
  <c r="P12" i="2"/>
  <c r="L14" i="2" l="1"/>
  <c r="L13" i="2"/>
  <c r="N13" i="2" s="1"/>
  <c r="L12" i="2"/>
  <c r="M12" i="2" s="1"/>
  <c r="N12" i="2" s="1"/>
  <c r="L11" i="2"/>
  <c r="M11" i="2" s="1"/>
  <c r="N11" i="2" s="1"/>
  <c r="L10" i="2"/>
  <c r="M10" i="2" s="1"/>
  <c r="N10" i="2" s="1"/>
  <c r="N14" i="2" l="1"/>
  <c r="N25" i="1" l="1"/>
  <c r="M25" i="1"/>
  <c r="L25" i="1"/>
  <c r="K25" i="1"/>
  <c r="J25" i="1"/>
  <c r="I25" i="1"/>
  <c r="H25" i="1"/>
  <c r="G25" i="1"/>
  <c r="F25" i="1"/>
  <c r="E25" i="1"/>
  <c r="D25" i="1"/>
  <c r="N19" i="2" l="1"/>
  <c r="K15" i="2" l="1"/>
  <c r="J15" i="2"/>
  <c r="I15" i="2"/>
  <c r="H15" i="2"/>
  <c r="G15" i="2"/>
  <c r="F15" i="2"/>
  <c r="E15" i="2"/>
  <c r="D15" i="2"/>
  <c r="L15" i="2" l="1"/>
  <c r="M15" i="2"/>
  <c r="M16" i="1"/>
  <c r="M21" i="1"/>
  <c r="M19" i="1"/>
  <c r="M17" i="1"/>
  <c r="N24" i="1" l="1"/>
  <c r="N23" i="1"/>
  <c r="N22" i="1"/>
  <c r="N21" i="1"/>
  <c r="N20" i="1"/>
  <c r="N19" i="1"/>
  <c r="N17" i="1"/>
  <c r="E23" i="1"/>
  <c r="L23" i="1" s="1"/>
  <c r="L24" i="1"/>
  <c r="L22" i="1"/>
  <c r="L21" i="1"/>
  <c r="L20" i="1"/>
  <c r="L19" i="1"/>
  <c r="L18" i="1"/>
  <c r="M18" i="1" s="1"/>
  <c r="N18" i="1" s="1"/>
  <c r="L17" i="1"/>
  <c r="N16" i="1"/>
  <c r="L16" i="1"/>
  <c r="N15" i="2" l="1"/>
  <c r="N21" i="2" s="1"/>
  <c r="L14" i="1"/>
  <c r="M14" i="1" s="1"/>
  <c r="L13" i="1"/>
  <c r="M13" i="1" s="1"/>
  <c r="N39" i="1" l="1"/>
  <c r="N11" i="1" l="1"/>
  <c r="L15" i="1"/>
  <c r="M15" i="1" s="1"/>
  <c r="N15" i="1" s="1"/>
  <c r="N14" i="1"/>
  <c r="L12" i="1"/>
  <c r="M12" i="1" s="1"/>
  <c r="L11" i="1"/>
  <c r="L10" i="1"/>
  <c r="M10" i="1" s="1"/>
  <c r="N10" i="1" s="1"/>
  <c r="N13" i="1" l="1"/>
  <c r="N12" i="1"/>
  <c r="N41" i="1" l="1"/>
</calcChain>
</file>

<file path=xl/sharedStrings.xml><?xml version="1.0" encoding="utf-8"?>
<sst xmlns="http://schemas.openxmlformats.org/spreadsheetml/2006/main" count="142" uniqueCount="67">
  <si>
    <t>Essel Vision Production Ltd.</t>
  </si>
  <si>
    <t>Date</t>
  </si>
  <si>
    <t>Particulars</t>
  </si>
  <si>
    <t>Gross Total</t>
  </si>
  <si>
    <t>Hiring Charges (Sets)</t>
  </si>
  <si>
    <t>Studio Maintainance Charges.A</t>
  </si>
  <si>
    <t>Hiring Charges (Makeup Room)</t>
  </si>
  <si>
    <t>Power &amp; Fuel</t>
  </si>
  <si>
    <t>Hiring of Property &amp; Repair</t>
  </si>
  <si>
    <t>Power &amp; Fuel - A</t>
  </si>
  <si>
    <t>Hiring Charges (Outdoor)</t>
  </si>
  <si>
    <t>429/19-20</t>
  </si>
  <si>
    <t>D/N-EVPPF1JUL19</t>
  </si>
  <si>
    <t>436/19-20</t>
  </si>
  <si>
    <t>589/19-20</t>
  </si>
  <si>
    <t>594/19-20</t>
  </si>
  <si>
    <t>598/19-20</t>
  </si>
  <si>
    <t>631/19-20</t>
  </si>
  <si>
    <t>1111/19-20</t>
  </si>
  <si>
    <t>1110/19-20</t>
  </si>
  <si>
    <t>1109/19-20</t>
  </si>
  <si>
    <t>1120/19-20</t>
  </si>
  <si>
    <t>Grand Total</t>
  </si>
  <si>
    <t>Accounts Statement</t>
  </si>
  <si>
    <t>Invoice.No.</t>
  </si>
  <si>
    <t xml:space="preserve">Net Taxable Amount </t>
  </si>
  <si>
    <t xml:space="preserve">Net Receivable Amount </t>
  </si>
  <si>
    <t xml:space="preserve">Less:- Receipts </t>
  </si>
  <si>
    <t>A</t>
  </si>
  <si>
    <t>B</t>
  </si>
  <si>
    <t>C</t>
  </si>
  <si>
    <t>D=(A-C)</t>
  </si>
  <si>
    <t>Neft</t>
  </si>
  <si>
    <t>-</t>
  </si>
  <si>
    <t>D</t>
  </si>
  <si>
    <t>1224/19-20</t>
  </si>
  <si>
    <t xml:space="preserve">Total Amount Received By Us </t>
  </si>
  <si>
    <t>E</t>
  </si>
  <si>
    <t>F=(D+E)</t>
  </si>
  <si>
    <t>1226/19-20</t>
  </si>
  <si>
    <t>1227/19-20</t>
  </si>
  <si>
    <t>1-Apr-2019 to 14-Feb-2020</t>
  </si>
  <si>
    <t>Net Balance Receivable Amount</t>
  </si>
  <si>
    <t>Tds As Per Form 26AS</t>
  </si>
  <si>
    <t>TAN NO.MUMI09459C</t>
  </si>
  <si>
    <t>1237/19-20</t>
  </si>
  <si>
    <t>01.04.2020</t>
  </si>
  <si>
    <t>Opening Balance   (Outstanding Balance    Amount Upto 31.03.2020)</t>
  </si>
  <si>
    <t>Applicable Tds@7.50%</t>
  </si>
  <si>
    <t xml:space="preserve">Outdoor Parking Charges </t>
  </si>
  <si>
    <t xml:space="preserve">Net Balance Receivable Amount </t>
  </si>
  <si>
    <t xml:space="preserve">Opening Balance (Outstanding Bill for the F.Y.2016-17) </t>
  </si>
  <si>
    <t>D/N-EVPPF1JAN17</t>
  </si>
  <si>
    <t>1-Apr-2019 to 31-Mar-2020</t>
  </si>
  <si>
    <t>515/20-21</t>
  </si>
  <si>
    <t>518/20-21</t>
  </si>
  <si>
    <t>519/20-21</t>
  </si>
  <si>
    <t>524/20-21</t>
  </si>
  <si>
    <t>529/20-21</t>
  </si>
  <si>
    <t>closure of booking by bhawani</t>
  </si>
  <si>
    <t>C is entry</t>
  </si>
  <si>
    <t>26 AS by Bhawan</t>
  </si>
  <si>
    <t>Gross, TDS, Net Receivale</t>
  </si>
  <si>
    <t>Makeroom detials</t>
  </si>
  <si>
    <t>Closure of Booking</t>
  </si>
  <si>
    <t>SOURCE 26AS</t>
  </si>
  <si>
    <t>SYSTEM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</si>
</sst>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 * #,##0.00_ ;_ * \-#,##0.00_ ;_ * &quot;-&quot;??_ ;_ @_ "/>
    <numFmt numFmtId="165" formatCode="dd/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b/>
      <u/>
      <sz val="16"/>
      <color theme="1"/>
      <name val="Tw Cen MT"/>
      <family val="2"/>
    </font>
    <font>
      <sz val="14"/>
      <color theme="1"/>
      <name val="Tw Cen MT"/>
      <family val="2"/>
    </font>
    <font>
      <b/>
      <i/>
      <sz val="12"/>
      <color theme="1"/>
      <name val="Tw Cen MT"/>
      <family val="2"/>
    </font>
    <font>
      <b/>
      <sz val="14"/>
      <color theme="1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164" fontId="2" fillId="0" borderId="2" xfId="1" applyFont="1" applyBorder="1" applyAlignment="1">
      <alignment horizontal="right" vertical="center"/>
    </xf>
    <xf numFmtId="164" fontId="3" fillId="0" borderId="2" xfId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65" fontId="3" fillId="0" borderId="4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8" xfId="1" applyFont="1" applyBorder="1" applyAlignment="1">
      <alignment vertical="center"/>
    </xf>
    <xf numFmtId="164" fontId="3" fillId="0" borderId="0" xfId="1" applyFont="1" applyAlignment="1">
      <alignment vertical="center"/>
    </xf>
    <xf numFmtId="164" fontId="3" fillId="0" borderId="5" xfId="1" applyFont="1" applyBorder="1" applyAlignment="1">
      <alignment vertical="center"/>
    </xf>
    <xf numFmtId="164" fontId="3" fillId="0" borderId="13" xfId="1" applyFont="1" applyBorder="1" applyAlignment="1">
      <alignment vertical="center"/>
    </xf>
    <xf numFmtId="164" fontId="2" fillId="2" borderId="11" xfId="1" applyFont="1" applyFill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4" fontId="3" fillId="0" borderId="28" xfId="0" applyNumberFormat="1" applyFont="1" applyBorder="1" applyAlignment="1">
      <alignment horizontal="center" vertical="center"/>
    </xf>
    <xf numFmtId="164" fontId="3" fillId="0" borderId="29" xfId="1" applyFont="1" applyBorder="1" applyAlignment="1">
      <alignment vertical="center"/>
    </xf>
    <xf numFmtId="164" fontId="2" fillId="2" borderId="11" xfId="1" applyFont="1" applyFill="1" applyBorder="1" applyAlignment="1">
      <alignment horizontal="right" vertical="center"/>
    </xf>
    <xf numFmtId="164" fontId="3" fillId="0" borderId="2" xfId="1" applyFont="1" applyFill="1" applyBorder="1" applyAlignment="1">
      <alignment horizontal="right" vertical="center"/>
    </xf>
    <xf numFmtId="165" fontId="3" fillId="0" borderId="6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vertical="center"/>
    </xf>
    <xf numFmtId="49" fontId="3" fillId="0" borderId="7" xfId="0" applyNumberFormat="1" applyFont="1" applyFill="1" applyBorder="1" applyAlignment="1">
      <alignment vertical="center"/>
    </xf>
    <xf numFmtId="164" fontId="2" fillId="0" borderId="7" xfId="1" applyFont="1" applyFill="1" applyBorder="1" applyAlignment="1">
      <alignment horizontal="right" vertical="center"/>
    </xf>
    <xf numFmtId="164" fontId="3" fillId="0" borderId="7" xfId="1" applyFont="1" applyFill="1" applyBorder="1" applyAlignment="1">
      <alignment horizontal="right" vertical="center"/>
    </xf>
    <xf numFmtId="164" fontId="3" fillId="0" borderId="8" xfId="1" applyFont="1" applyFill="1" applyBorder="1" applyAlignment="1">
      <alignment horizontal="right" vertical="center"/>
    </xf>
    <xf numFmtId="165" fontId="3" fillId="0" borderId="4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vertical="center"/>
    </xf>
    <xf numFmtId="164" fontId="2" fillId="0" borderId="2" xfId="1" applyFont="1" applyFill="1" applyBorder="1" applyAlignment="1">
      <alignment horizontal="right" vertical="center"/>
    </xf>
    <xf numFmtId="164" fontId="3" fillId="0" borderId="5" xfId="1" applyFont="1" applyFill="1" applyBorder="1" applyAlignment="1">
      <alignment horizontal="right" vertical="center"/>
    </xf>
    <xf numFmtId="164" fontId="2" fillId="2" borderId="10" xfId="1" applyFont="1" applyFill="1" applyBorder="1" applyAlignment="1">
      <alignment horizontal="right" vertical="center"/>
    </xf>
    <xf numFmtId="14" fontId="3" fillId="0" borderId="23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64" fontId="3" fillId="0" borderId="13" xfId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vertical="center" wrapText="1"/>
    </xf>
    <xf numFmtId="49" fontId="3" fillId="2" borderId="7" xfId="0" applyNumberFormat="1" applyFont="1" applyFill="1" applyBorder="1" applyAlignment="1">
      <alignment vertical="center"/>
    </xf>
    <xf numFmtId="164" fontId="2" fillId="2" borderId="7" xfId="1" applyFont="1" applyFill="1" applyBorder="1" applyAlignment="1">
      <alignment horizontal="right" vertical="center"/>
    </xf>
    <xf numFmtId="164" fontId="3" fillId="2" borderId="7" xfId="1" applyFont="1" applyFill="1" applyBorder="1" applyAlignment="1">
      <alignment horizontal="right" vertical="center"/>
    </xf>
    <xf numFmtId="164" fontId="2" fillId="2" borderId="8" xfId="1" applyFont="1" applyFill="1" applyBorder="1" applyAlignment="1">
      <alignment horizontal="right" vertical="center"/>
    </xf>
    <xf numFmtId="164" fontId="3" fillId="2" borderId="8" xfId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4" fontId="3" fillId="0" borderId="2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64" fontId="2" fillId="0" borderId="19" xfId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164" fontId="3" fillId="3" borderId="7" xfId="1" applyFont="1" applyFill="1" applyBorder="1" applyAlignment="1">
      <alignment horizontal="right" vertical="center"/>
    </xf>
    <xf numFmtId="164" fontId="3" fillId="4" borderId="7" xfId="1" applyFont="1" applyFill="1" applyBorder="1" applyAlignment="1">
      <alignment horizontal="right" vertical="center"/>
    </xf>
    <xf numFmtId="164" fontId="3" fillId="4" borderId="8" xfId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43" fontId="3" fillId="0" borderId="0" xfId="0" applyNumberFormat="1" applyFont="1" applyAlignment="1">
      <alignment vertical="center"/>
    </xf>
    <xf numFmtId="165" fontId="3" fillId="3" borderId="6" xfId="0" applyNumberFormat="1" applyFont="1" applyFill="1" applyBorder="1" applyAlignment="1">
      <alignment horizontal="left" vertical="center"/>
    </xf>
    <xf numFmtId="165" fontId="3" fillId="5" borderId="6" xfId="0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zoomScale="90" zoomScaleNormal="90" workbookViewId="0">
      <pane ySplit="7" topLeftCell="A30" activePane="bottomLeft" state="frozen"/>
      <selection pane="bottomLeft" activeCell="M44" sqref="M44"/>
    </sheetView>
  </sheetViews>
  <sheetFormatPr defaultColWidth="8.85546875" defaultRowHeight="15.75" x14ac:dyDescent="0.25"/>
  <cols>
    <col min="1" max="1" width="14" style="7" bestFit="1" customWidth="1"/>
    <col min="2" max="2" width="32.42578125" style="1" bestFit="1" customWidth="1"/>
    <col min="3" max="3" width="18.28515625" style="1" bestFit="1" customWidth="1"/>
    <col min="4" max="4" width="15.85546875" style="1" bestFit="1" customWidth="1"/>
    <col min="5" max="5" width="15.42578125" style="1" hidden="1" customWidth="1"/>
    <col min="6" max="6" width="13.7109375" style="1" hidden="1" customWidth="1"/>
    <col min="7" max="8" width="12.7109375" style="1" hidden="1" customWidth="1"/>
    <col min="9" max="9" width="18.28515625" style="1" hidden="1" customWidth="1"/>
    <col min="10" max="11" width="12.7109375" style="1" hidden="1" customWidth="1"/>
    <col min="12" max="12" width="14.140625" style="1" bestFit="1" customWidth="1"/>
    <col min="13" max="13" width="14.5703125" style="1" bestFit="1" customWidth="1"/>
    <col min="14" max="14" width="15.85546875" style="1" bestFit="1" customWidth="1"/>
    <col min="15" max="15" width="8.85546875" style="1"/>
    <col min="16" max="16" width="15.85546875" style="1" bestFit="1" customWidth="1"/>
    <col min="17" max="16384" width="8.85546875" style="1"/>
  </cols>
  <sheetData>
    <row r="1" spans="1:14" ht="20.25" x14ac:dyDescent="0.25">
      <c r="A1" s="55" t="s">
        <v>0</v>
      </c>
      <c r="B1" s="55"/>
      <c r="C1" s="64" t="s">
        <v>44</v>
      </c>
      <c r="D1" s="64"/>
    </row>
    <row r="2" spans="1:14" x14ac:dyDescent="0.25">
      <c r="A2" s="56"/>
      <c r="B2" s="56"/>
    </row>
    <row r="3" spans="1:14" ht="18.75" x14ac:dyDescent="0.25">
      <c r="A3" s="57" t="s">
        <v>23</v>
      </c>
      <c r="B3" s="57"/>
    </row>
    <row r="4" spans="1:14" x14ac:dyDescent="0.25">
      <c r="A4" s="56"/>
      <c r="B4" s="56"/>
    </row>
    <row r="5" spans="1:14" x14ac:dyDescent="0.25">
      <c r="A5" s="56" t="s">
        <v>41</v>
      </c>
      <c r="B5" s="56"/>
    </row>
    <row r="6" spans="1:14" s="2" customFormat="1" ht="16.5" thickBot="1" x14ac:dyDescent="0.3">
      <c r="A6" s="74"/>
      <c r="B6" s="74"/>
      <c r="D6" s="24" t="s">
        <v>28</v>
      </c>
      <c r="L6" s="24" t="s">
        <v>29</v>
      </c>
      <c r="M6" s="24" t="s">
        <v>30</v>
      </c>
      <c r="N6" s="24" t="s">
        <v>31</v>
      </c>
    </row>
    <row r="7" spans="1:14" s="2" customFormat="1" ht="45.6" customHeight="1" thickBot="1" x14ac:dyDescent="0.3">
      <c r="A7" s="9" t="s">
        <v>1</v>
      </c>
      <c r="B7" s="10" t="s">
        <v>2</v>
      </c>
      <c r="C7" s="11" t="s">
        <v>24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25</v>
      </c>
      <c r="M7" s="11" t="s">
        <v>43</v>
      </c>
      <c r="N7" s="12" t="s">
        <v>26</v>
      </c>
    </row>
    <row r="8" spans="1:14" ht="47.25" x14ac:dyDescent="0.25">
      <c r="A8" s="46">
        <v>43556</v>
      </c>
      <c r="B8" s="47" t="s">
        <v>51</v>
      </c>
      <c r="C8" s="48" t="s">
        <v>52</v>
      </c>
      <c r="D8" s="49">
        <v>1280</v>
      </c>
      <c r="E8" s="50"/>
      <c r="F8" s="50"/>
      <c r="G8" s="50"/>
      <c r="H8" s="50"/>
      <c r="I8" s="50"/>
      <c r="J8" s="50"/>
      <c r="K8" s="50"/>
      <c r="L8" s="50"/>
      <c r="M8" s="50"/>
      <c r="N8" s="52">
        <v>1280</v>
      </c>
    </row>
    <row r="9" spans="1:14" x14ac:dyDescent="0.25">
      <c r="A9" s="30"/>
      <c r="B9" s="31"/>
      <c r="C9" s="32"/>
      <c r="D9" s="33"/>
      <c r="E9" s="34"/>
      <c r="F9" s="34"/>
      <c r="G9" s="34"/>
      <c r="H9" s="34"/>
      <c r="I9" s="34"/>
      <c r="J9" s="34"/>
      <c r="K9" s="34"/>
      <c r="L9" s="34"/>
      <c r="M9" s="34"/>
      <c r="N9" s="35"/>
    </row>
    <row r="10" spans="1:14" x14ac:dyDescent="0.25">
      <c r="A10" s="30">
        <v>43677</v>
      </c>
      <c r="B10" s="31" t="s">
        <v>0</v>
      </c>
      <c r="C10" s="32" t="s">
        <v>11</v>
      </c>
      <c r="D10" s="33">
        <v>217179</v>
      </c>
      <c r="E10" s="34">
        <v>170000</v>
      </c>
      <c r="F10" s="34">
        <v>8050</v>
      </c>
      <c r="G10" s="34">
        <v>6000</v>
      </c>
      <c r="H10" s="34"/>
      <c r="I10" s="34"/>
      <c r="J10" s="34"/>
      <c r="K10" s="34"/>
      <c r="L10" s="34">
        <f>SUM(E10:K10)</f>
        <v>184050</v>
      </c>
      <c r="M10" s="34">
        <f>ROUND(L10*10%,0)</f>
        <v>18405</v>
      </c>
      <c r="N10" s="35">
        <f>+D10-M10</f>
        <v>198774</v>
      </c>
    </row>
    <row r="11" spans="1:14" x14ac:dyDescent="0.25">
      <c r="A11" s="36">
        <v>43677</v>
      </c>
      <c r="B11" s="37" t="s">
        <v>0</v>
      </c>
      <c r="C11" s="38" t="s">
        <v>12</v>
      </c>
      <c r="D11" s="39">
        <v>20900</v>
      </c>
      <c r="E11" s="29"/>
      <c r="F11" s="29"/>
      <c r="G11" s="29"/>
      <c r="H11" s="29">
        <v>20900</v>
      </c>
      <c r="I11" s="29"/>
      <c r="J11" s="29"/>
      <c r="K11" s="29"/>
      <c r="L11" s="29">
        <f t="shared" ref="L11:L15" si="0">SUM(E11:K11)</f>
        <v>20900</v>
      </c>
      <c r="M11" s="29">
        <v>0</v>
      </c>
      <c r="N11" s="40">
        <f t="shared" ref="N11:N15" si="1">+D11-M11</f>
        <v>20900</v>
      </c>
    </row>
    <row r="12" spans="1:14" x14ac:dyDescent="0.25">
      <c r="A12" s="36">
        <v>43678</v>
      </c>
      <c r="B12" s="37" t="s">
        <v>0</v>
      </c>
      <c r="C12" s="38" t="s">
        <v>13</v>
      </c>
      <c r="D12" s="39">
        <v>82954</v>
      </c>
      <c r="E12" s="29">
        <v>68000</v>
      </c>
      <c r="F12" s="29">
        <v>2300</v>
      </c>
      <c r="G12" s="29"/>
      <c r="H12" s="29"/>
      <c r="I12" s="29"/>
      <c r="J12" s="29"/>
      <c r="K12" s="29"/>
      <c r="L12" s="29">
        <f t="shared" si="0"/>
        <v>70300</v>
      </c>
      <c r="M12" s="29">
        <f t="shared" ref="M12:M19" si="2">ROUND(L12*10%,0)</f>
        <v>7030</v>
      </c>
      <c r="N12" s="40">
        <f t="shared" si="1"/>
        <v>75924</v>
      </c>
    </row>
    <row r="13" spans="1:14" x14ac:dyDescent="0.25">
      <c r="A13" s="36">
        <v>43717</v>
      </c>
      <c r="B13" s="37" t="s">
        <v>0</v>
      </c>
      <c r="C13" s="38" t="s">
        <v>14</v>
      </c>
      <c r="D13" s="39">
        <v>164563</v>
      </c>
      <c r="E13" s="29">
        <v>120000</v>
      </c>
      <c r="F13" s="29">
        <v>5000</v>
      </c>
      <c r="G13" s="29">
        <v>8000</v>
      </c>
      <c r="H13" s="29"/>
      <c r="I13" s="29">
        <v>300</v>
      </c>
      <c r="J13" s="29">
        <v>6160</v>
      </c>
      <c r="K13" s="29"/>
      <c r="L13" s="29">
        <f t="shared" si="0"/>
        <v>139460</v>
      </c>
      <c r="M13" s="29">
        <f t="shared" si="2"/>
        <v>13946</v>
      </c>
      <c r="N13" s="40">
        <f t="shared" si="1"/>
        <v>150617</v>
      </c>
    </row>
    <row r="14" spans="1:14" x14ac:dyDescent="0.25">
      <c r="A14" s="36">
        <v>43718</v>
      </c>
      <c r="B14" s="37" t="s">
        <v>0</v>
      </c>
      <c r="C14" s="38" t="s">
        <v>15</v>
      </c>
      <c r="D14" s="39">
        <v>106790</v>
      </c>
      <c r="E14" s="29">
        <v>80000</v>
      </c>
      <c r="F14" s="29">
        <v>2500</v>
      </c>
      <c r="G14" s="29">
        <v>8000</v>
      </c>
      <c r="H14" s="29"/>
      <c r="I14" s="29"/>
      <c r="J14" s="29"/>
      <c r="K14" s="29"/>
      <c r="L14" s="29">
        <f t="shared" si="0"/>
        <v>90500</v>
      </c>
      <c r="M14" s="29">
        <f t="shared" si="2"/>
        <v>9050</v>
      </c>
      <c r="N14" s="40">
        <f t="shared" si="1"/>
        <v>97740</v>
      </c>
    </row>
    <row r="15" spans="1:14" x14ac:dyDescent="0.25">
      <c r="A15" s="36">
        <v>43718</v>
      </c>
      <c r="B15" s="37" t="s">
        <v>0</v>
      </c>
      <c r="C15" s="38" t="s">
        <v>16</v>
      </c>
      <c r="D15" s="39">
        <v>33460</v>
      </c>
      <c r="E15" s="29">
        <v>19998</v>
      </c>
      <c r="F15" s="29">
        <v>1250</v>
      </c>
      <c r="G15" s="29"/>
      <c r="H15" s="29"/>
      <c r="I15" s="29">
        <v>200</v>
      </c>
      <c r="J15" s="29">
        <v>6908</v>
      </c>
      <c r="K15" s="29"/>
      <c r="L15" s="29">
        <f t="shared" si="0"/>
        <v>28356</v>
      </c>
      <c r="M15" s="29">
        <f t="shared" si="2"/>
        <v>2836</v>
      </c>
      <c r="N15" s="40">
        <f t="shared" si="1"/>
        <v>30624</v>
      </c>
    </row>
    <row r="16" spans="1:14" x14ac:dyDescent="0.25">
      <c r="A16" s="36">
        <v>43727</v>
      </c>
      <c r="B16" s="37" t="s">
        <v>0</v>
      </c>
      <c r="C16" s="38" t="s">
        <v>17</v>
      </c>
      <c r="D16" s="39">
        <v>155659</v>
      </c>
      <c r="E16" s="29">
        <v>112500</v>
      </c>
      <c r="F16" s="29">
        <v>4600</v>
      </c>
      <c r="G16" s="29">
        <v>4000</v>
      </c>
      <c r="H16" s="29"/>
      <c r="I16" s="29">
        <v>100</v>
      </c>
      <c r="J16" s="29">
        <v>10714</v>
      </c>
      <c r="K16" s="29"/>
      <c r="L16" s="29">
        <f t="shared" ref="L16:L24" si="3">SUM(E16:K16)</f>
        <v>131914</v>
      </c>
      <c r="M16" s="29">
        <f>11710+215+410+1</f>
        <v>12336</v>
      </c>
      <c r="N16" s="40">
        <f t="shared" ref="N16:N24" si="4">+D16-M16</f>
        <v>143323</v>
      </c>
    </row>
    <row r="17" spans="1:16" x14ac:dyDescent="0.25">
      <c r="A17" s="8">
        <v>43855</v>
      </c>
      <c r="B17" s="3" t="s">
        <v>0</v>
      </c>
      <c r="C17" s="4" t="s">
        <v>18</v>
      </c>
      <c r="D17" s="5">
        <v>91214</v>
      </c>
      <c r="E17" s="6">
        <v>75000</v>
      </c>
      <c r="F17" s="6">
        <v>2300</v>
      </c>
      <c r="G17" s="6"/>
      <c r="H17" s="6"/>
      <c r="I17" s="6"/>
      <c r="J17" s="6"/>
      <c r="K17" s="6"/>
      <c r="L17" s="29">
        <f t="shared" si="3"/>
        <v>77300</v>
      </c>
      <c r="M17" s="29">
        <f t="shared" si="2"/>
        <v>7730</v>
      </c>
      <c r="N17" s="40">
        <f t="shared" si="4"/>
        <v>83484</v>
      </c>
    </row>
    <row r="18" spans="1:16" x14ac:dyDescent="0.25">
      <c r="A18" s="8">
        <v>43855</v>
      </c>
      <c r="B18" s="3" t="s">
        <v>0</v>
      </c>
      <c r="C18" s="4" t="s">
        <v>19</v>
      </c>
      <c r="D18" s="5">
        <v>185496</v>
      </c>
      <c r="E18" s="6">
        <v>150000</v>
      </c>
      <c r="F18" s="6">
        <v>6900</v>
      </c>
      <c r="G18" s="6"/>
      <c r="H18" s="6"/>
      <c r="I18" s="6">
        <v>0</v>
      </c>
      <c r="J18" s="6"/>
      <c r="K18" s="6"/>
      <c r="L18" s="29">
        <f t="shared" si="3"/>
        <v>156900</v>
      </c>
      <c r="M18" s="29">
        <f t="shared" si="2"/>
        <v>15690</v>
      </c>
      <c r="N18" s="40">
        <f t="shared" si="4"/>
        <v>169806</v>
      </c>
    </row>
    <row r="19" spans="1:16" x14ac:dyDescent="0.25">
      <c r="A19" s="8">
        <v>43855</v>
      </c>
      <c r="B19" s="3" t="s">
        <v>0</v>
      </c>
      <c r="C19" s="4" t="s">
        <v>20</v>
      </c>
      <c r="D19" s="5">
        <v>93928</v>
      </c>
      <c r="E19" s="6"/>
      <c r="F19" s="6">
        <v>4600</v>
      </c>
      <c r="G19" s="6"/>
      <c r="H19" s="6"/>
      <c r="I19" s="6"/>
      <c r="J19" s="6"/>
      <c r="K19" s="6">
        <v>75000</v>
      </c>
      <c r="L19" s="29">
        <f t="shared" si="3"/>
        <v>79600</v>
      </c>
      <c r="M19" s="29">
        <f t="shared" si="2"/>
        <v>7960</v>
      </c>
      <c r="N19" s="40">
        <f t="shared" si="4"/>
        <v>85968</v>
      </c>
    </row>
    <row r="20" spans="1:16" x14ac:dyDescent="0.25">
      <c r="A20" s="8">
        <v>43855</v>
      </c>
      <c r="B20" s="3" t="s">
        <v>0</v>
      </c>
      <c r="C20" s="4" t="s">
        <v>21</v>
      </c>
      <c r="D20" s="5">
        <v>11396</v>
      </c>
      <c r="E20" s="6"/>
      <c r="F20" s="6"/>
      <c r="G20" s="6"/>
      <c r="H20" s="6"/>
      <c r="I20" s="6"/>
      <c r="J20" s="6">
        <v>9658</v>
      </c>
      <c r="K20" s="6"/>
      <c r="L20" s="29">
        <f t="shared" si="3"/>
        <v>9658</v>
      </c>
      <c r="M20" s="29">
        <v>0</v>
      </c>
      <c r="N20" s="40">
        <f t="shared" si="4"/>
        <v>11396</v>
      </c>
    </row>
    <row r="21" spans="1:16" x14ac:dyDescent="0.25">
      <c r="A21" s="8">
        <v>43873</v>
      </c>
      <c r="B21" s="3" t="s">
        <v>0</v>
      </c>
      <c r="C21" s="4" t="s">
        <v>35</v>
      </c>
      <c r="D21" s="5">
        <v>106344</v>
      </c>
      <c r="E21" s="6">
        <v>80000</v>
      </c>
      <c r="F21" s="6">
        <v>2500</v>
      </c>
      <c r="G21" s="6">
        <v>6000</v>
      </c>
      <c r="H21" s="6"/>
      <c r="I21" s="6">
        <v>500</v>
      </c>
      <c r="J21" s="6">
        <v>1122</v>
      </c>
      <c r="K21" s="6"/>
      <c r="L21" s="29">
        <f t="shared" si="3"/>
        <v>90122</v>
      </c>
      <c r="M21" s="29">
        <f>ROUND(L21*10%,0)+1</f>
        <v>9013</v>
      </c>
      <c r="N21" s="40">
        <f t="shared" si="4"/>
        <v>97331</v>
      </c>
    </row>
    <row r="22" spans="1:16" x14ac:dyDescent="0.25">
      <c r="A22" s="8">
        <v>43873</v>
      </c>
      <c r="B22" s="3" t="s">
        <v>0</v>
      </c>
      <c r="C22" s="4" t="s">
        <v>39</v>
      </c>
      <c r="D22" s="5">
        <v>103014</v>
      </c>
      <c r="E22" s="6">
        <v>85000</v>
      </c>
      <c r="F22" s="6">
        <v>2300</v>
      </c>
      <c r="G22" s="6"/>
      <c r="H22" s="6"/>
      <c r="I22" s="6"/>
      <c r="J22" s="6"/>
      <c r="K22" s="6"/>
      <c r="L22" s="29">
        <f t="shared" si="3"/>
        <v>87300</v>
      </c>
      <c r="M22" s="29">
        <v>8500</v>
      </c>
      <c r="N22" s="40">
        <f t="shared" si="4"/>
        <v>94514</v>
      </c>
    </row>
    <row r="23" spans="1:16" x14ac:dyDescent="0.25">
      <c r="A23" s="8">
        <v>43874</v>
      </c>
      <c r="B23" s="3" t="s">
        <v>0</v>
      </c>
      <c r="C23" s="4" t="s">
        <v>40</v>
      </c>
      <c r="D23" s="5">
        <v>222902</v>
      </c>
      <c r="E23" s="6">
        <f>42500+85000+42500</f>
        <v>170000</v>
      </c>
      <c r="F23" s="6">
        <v>6900</v>
      </c>
      <c r="G23" s="6">
        <v>12000</v>
      </c>
      <c r="H23" s="6"/>
      <c r="I23" s="6"/>
      <c r="J23" s="6"/>
      <c r="K23" s="6"/>
      <c r="L23" s="29">
        <f t="shared" si="3"/>
        <v>188900</v>
      </c>
      <c r="M23" s="29">
        <v>17900</v>
      </c>
      <c r="N23" s="40">
        <f t="shared" si="4"/>
        <v>205002</v>
      </c>
    </row>
    <row r="24" spans="1:16" ht="16.5" thickBot="1" x14ac:dyDescent="0.3">
      <c r="A24" s="8">
        <v>43875</v>
      </c>
      <c r="B24" s="3" t="s">
        <v>0</v>
      </c>
      <c r="C24" s="4" t="s">
        <v>45</v>
      </c>
      <c r="D24" s="5">
        <v>36705</v>
      </c>
      <c r="E24" s="6">
        <v>17708</v>
      </c>
      <c r="F24" s="6"/>
      <c r="G24" s="6"/>
      <c r="H24" s="6"/>
      <c r="I24" s="6"/>
      <c r="J24" s="6">
        <v>13398</v>
      </c>
      <c r="K24" s="6"/>
      <c r="L24" s="29">
        <f t="shared" si="3"/>
        <v>31106</v>
      </c>
      <c r="M24" s="29">
        <v>0</v>
      </c>
      <c r="N24" s="40">
        <f t="shared" si="4"/>
        <v>36705</v>
      </c>
    </row>
    <row r="25" spans="1:16" ht="16.5" thickBot="1" x14ac:dyDescent="0.3">
      <c r="A25" s="61" t="s">
        <v>22</v>
      </c>
      <c r="B25" s="62"/>
      <c r="C25" s="63"/>
      <c r="D25" s="41">
        <f>SUM(D8:D24)</f>
        <v>1633784</v>
      </c>
      <c r="E25" s="41">
        <f t="shared" ref="E25:M25" si="5">SUM(E8:E24)</f>
        <v>1148206</v>
      </c>
      <c r="F25" s="41">
        <f t="shared" si="5"/>
        <v>49200</v>
      </c>
      <c r="G25" s="41">
        <f t="shared" si="5"/>
        <v>44000</v>
      </c>
      <c r="H25" s="41">
        <f t="shared" si="5"/>
        <v>20900</v>
      </c>
      <c r="I25" s="41">
        <f t="shared" si="5"/>
        <v>1100</v>
      </c>
      <c r="J25" s="41">
        <f t="shared" si="5"/>
        <v>47960</v>
      </c>
      <c r="K25" s="41">
        <f t="shared" si="5"/>
        <v>75000</v>
      </c>
      <c r="L25" s="41">
        <f t="shared" si="5"/>
        <v>1386366</v>
      </c>
      <c r="M25" s="41">
        <f t="shared" si="5"/>
        <v>130396</v>
      </c>
      <c r="N25" s="28">
        <f>SUM(N8:N24)</f>
        <v>1503388</v>
      </c>
      <c r="O25" s="2" t="s">
        <v>34</v>
      </c>
      <c r="P25" s="45"/>
    </row>
    <row r="26" spans="1:16" x14ac:dyDescent="0.25">
      <c r="A26" s="65" t="s">
        <v>27</v>
      </c>
      <c r="B26" s="66"/>
      <c r="C26" s="67"/>
      <c r="D26" s="15">
        <v>43670</v>
      </c>
      <c r="E26" s="13"/>
      <c r="F26" s="13"/>
      <c r="G26" s="13"/>
      <c r="H26" s="13"/>
      <c r="I26" s="13"/>
      <c r="J26" s="13"/>
      <c r="K26" s="13"/>
      <c r="L26" s="13" t="s">
        <v>32</v>
      </c>
      <c r="M26" s="13" t="s">
        <v>33</v>
      </c>
      <c r="N26" s="17">
        <v>-244800</v>
      </c>
      <c r="O26" s="75" t="s">
        <v>37</v>
      </c>
      <c r="P26" s="18"/>
    </row>
    <row r="27" spans="1:16" x14ac:dyDescent="0.25">
      <c r="A27" s="68"/>
      <c r="B27" s="69"/>
      <c r="C27" s="70"/>
      <c r="D27" s="22">
        <v>43705</v>
      </c>
      <c r="E27" s="14"/>
      <c r="F27" s="14"/>
      <c r="G27" s="14"/>
      <c r="H27" s="14"/>
      <c r="I27" s="14"/>
      <c r="J27" s="14"/>
      <c r="K27" s="14"/>
      <c r="L27" s="13" t="s">
        <v>32</v>
      </c>
      <c r="M27" s="13" t="s">
        <v>33</v>
      </c>
      <c r="N27" s="19">
        <v>-29897</v>
      </c>
      <c r="O27" s="75"/>
      <c r="P27" s="18"/>
    </row>
    <row r="28" spans="1:16" x14ac:dyDescent="0.25">
      <c r="A28" s="68"/>
      <c r="B28" s="69"/>
      <c r="C28" s="70"/>
      <c r="D28" s="22">
        <v>43718</v>
      </c>
      <c r="E28" s="14"/>
      <c r="F28" s="14"/>
      <c r="G28" s="14"/>
      <c r="H28" s="14"/>
      <c r="I28" s="14"/>
      <c r="J28" s="14"/>
      <c r="K28" s="14"/>
      <c r="L28" s="13" t="s">
        <v>32</v>
      </c>
      <c r="M28" s="13" t="s">
        <v>33</v>
      </c>
      <c r="N28" s="19">
        <v>-126468</v>
      </c>
      <c r="O28" s="75"/>
      <c r="P28" s="18"/>
    </row>
    <row r="29" spans="1:16" x14ac:dyDescent="0.25">
      <c r="A29" s="68"/>
      <c r="B29" s="69"/>
      <c r="C29" s="70"/>
      <c r="D29" s="22">
        <v>43718</v>
      </c>
      <c r="E29" s="14"/>
      <c r="F29" s="14"/>
      <c r="G29" s="14"/>
      <c r="H29" s="14"/>
      <c r="I29" s="14"/>
      <c r="J29" s="14"/>
      <c r="K29" s="14"/>
      <c r="L29" s="13" t="s">
        <v>32</v>
      </c>
      <c r="M29" s="13" t="s">
        <v>33</v>
      </c>
      <c r="N29" s="19">
        <v>-216000</v>
      </c>
      <c r="O29" s="75"/>
      <c r="P29" s="18"/>
    </row>
    <row r="30" spans="1:16" x14ac:dyDescent="0.25">
      <c r="A30" s="68"/>
      <c r="B30" s="69"/>
      <c r="C30" s="70"/>
      <c r="D30" s="23">
        <v>43741</v>
      </c>
      <c r="E30" s="16"/>
      <c r="F30" s="16"/>
      <c r="G30" s="16"/>
      <c r="H30" s="16"/>
      <c r="I30" s="16"/>
      <c r="J30" s="16"/>
      <c r="K30" s="16"/>
      <c r="L30" s="13" t="s">
        <v>32</v>
      </c>
      <c r="M30" s="13" t="s">
        <v>33</v>
      </c>
      <c r="N30" s="20">
        <v>-20900</v>
      </c>
      <c r="O30" s="75"/>
      <c r="P30" s="18"/>
    </row>
    <row r="31" spans="1:16" x14ac:dyDescent="0.25">
      <c r="A31" s="68"/>
      <c r="B31" s="69"/>
      <c r="C31" s="70"/>
      <c r="D31" s="23">
        <v>43753</v>
      </c>
      <c r="E31" s="16"/>
      <c r="F31" s="16"/>
      <c r="G31" s="16"/>
      <c r="H31" s="16"/>
      <c r="I31" s="16"/>
      <c r="J31" s="16"/>
      <c r="K31" s="16"/>
      <c r="L31" s="13" t="s">
        <v>32</v>
      </c>
      <c r="M31" s="13" t="s">
        <v>33</v>
      </c>
      <c r="N31" s="20">
        <v>-62981</v>
      </c>
      <c r="O31" s="75"/>
      <c r="P31" s="18"/>
    </row>
    <row r="32" spans="1:16" x14ac:dyDescent="0.25">
      <c r="A32" s="68"/>
      <c r="B32" s="69"/>
      <c r="C32" s="70"/>
      <c r="D32" s="23">
        <v>43810</v>
      </c>
      <c r="E32" s="16"/>
      <c r="F32" s="16"/>
      <c r="G32" s="16"/>
      <c r="H32" s="16"/>
      <c r="I32" s="16"/>
      <c r="J32" s="16"/>
      <c r="K32" s="16"/>
      <c r="L32" s="13" t="s">
        <v>32</v>
      </c>
      <c r="M32" s="13" t="s">
        <v>33</v>
      </c>
      <c r="N32" s="20">
        <v>-16856</v>
      </c>
      <c r="O32" s="75"/>
      <c r="P32" s="18"/>
    </row>
    <row r="33" spans="1:16" x14ac:dyDescent="0.25">
      <c r="A33" s="68"/>
      <c r="B33" s="69"/>
      <c r="C33" s="70"/>
      <c r="D33" s="23">
        <v>43852</v>
      </c>
      <c r="E33" s="16"/>
      <c r="F33" s="16"/>
      <c r="G33" s="16"/>
      <c r="H33" s="16"/>
      <c r="I33" s="16"/>
      <c r="J33" s="16"/>
      <c r="K33" s="16"/>
      <c r="L33" s="13" t="s">
        <v>32</v>
      </c>
      <c r="M33" s="13" t="s">
        <v>33</v>
      </c>
      <c r="N33" s="20">
        <v>-338904</v>
      </c>
      <c r="O33" s="75"/>
      <c r="P33" s="18"/>
    </row>
    <row r="34" spans="1:16" x14ac:dyDescent="0.25">
      <c r="A34" s="68"/>
      <c r="B34" s="69"/>
      <c r="C34" s="70"/>
      <c r="D34" s="23">
        <v>43872</v>
      </c>
      <c r="E34" s="16"/>
      <c r="F34" s="16"/>
      <c r="G34" s="16"/>
      <c r="H34" s="16"/>
      <c r="I34" s="16"/>
      <c r="J34" s="16"/>
      <c r="K34" s="16"/>
      <c r="L34" s="13" t="s">
        <v>32</v>
      </c>
      <c r="M34" s="13" t="s">
        <v>33</v>
      </c>
      <c r="N34" s="20">
        <v>-193320</v>
      </c>
      <c r="O34" s="75"/>
      <c r="P34" s="18"/>
    </row>
    <row r="35" spans="1:16" x14ac:dyDescent="0.25">
      <c r="A35" s="68"/>
      <c r="B35" s="69"/>
      <c r="C35" s="70"/>
      <c r="D35" s="23">
        <v>43874</v>
      </c>
      <c r="E35" s="16"/>
      <c r="F35" s="16"/>
      <c r="G35" s="16"/>
      <c r="H35" s="16"/>
      <c r="I35" s="16"/>
      <c r="J35" s="16"/>
      <c r="K35" s="16"/>
      <c r="L35" s="13" t="s">
        <v>32</v>
      </c>
      <c r="M35" s="13" t="s">
        <v>33</v>
      </c>
      <c r="N35" s="20">
        <v>-97331</v>
      </c>
      <c r="O35" s="75"/>
      <c r="P35" s="18"/>
    </row>
    <row r="36" spans="1:16" x14ac:dyDescent="0.25">
      <c r="A36" s="68"/>
      <c r="B36" s="69"/>
      <c r="C36" s="70"/>
      <c r="D36" s="23">
        <v>43875</v>
      </c>
      <c r="E36" s="16"/>
      <c r="F36" s="16"/>
      <c r="G36" s="16"/>
      <c r="H36" s="16"/>
      <c r="I36" s="16"/>
      <c r="J36" s="16"/>
      <c r="K36" s="16"/>
      <c r="L36" s="13" t="s">
        <v>32</v>
      </c>
      <c r="M36" s="13" t="s">
        <v>33</v>
      </c>
      <c r="N36" s="20">
        <v>-91800</v>
      </c>
      <c r="O36" s="75"/>
      <c r="P36" s="18"/>
    </row>
    <row r="37" spans="1:16" x14ac:dyDescent="0.25">
      <c r="A37" s="68"/>
      <c r="B37" s="69"/>
      <c r="C37" s="70"/>
      <c r="D37" s="42">
        <v>43909</v>
      </c>
      <c r="E37" s="16"/>
      <c r="F37" s="16"/>
      <c r="G37" s="16"/>
      <c r="H37" s="16"/>
      <c r="I37" s="16"/>
      <c r="J37" s="16"/>
      <c r="K37" s="16"/>
      <c r="L37" s="43" t="s">
        <v>32</v>
      </c>
      <c r="M37" s="43" t="s">
        <v>33</v>
      </c>
      <c r="N37" s="44">
        <v>-11750</v>
      </c>
      <c r="O37" s="75"/>
      <c r="P37" s="18"/>
    </row>
    <row r="38" spans="1:16" ht="16.5" thickBot="1" x14ac:dyDescent="0.3">
      <c r="A38" s="68"/>
      <c r="B38" s="69"/>
      <c r="C38" s="70"/>
      <c r="D38" s="42">
        <v>44022</v>
      </c>
      <c r="E38" s="16"/>
      <c r="F38" s="16"/>
      <c r="G38" s="16"/>
      <c r="H38" s="16"/>
      <c r="I38" s="16"/>
      <c r="J38" s="16"/>
      <c r="K38" s="16"/>
      <c r="L38" s="43" t="s">
        <v>32</v>
      </c>
      <c r="M38" s="43" t="s">
        <v>33</v>
      </c>
      <c r="N38" s="44">
        <v>-47853</v>
      </c>
      <c r="O38" s="75"/>
      <c r="P38" s="18"/>
    </row>
    <row r="39" spans="1:16" ht="19.5" thickBot="1" x14ac:dyDescent="0.3">
      <c r="A39" s="68"/>
      <c r="B39" s="69"/>
      <c r="C39" s="70"/>
      <c r="D39" s="58" t="s">
        <v>36</v>
      </c>
      <c r="E39" s="59"/>
      <c r="F39" s="59"/>
      <c r="G39" s="59"/>
      <c r="H39" s="59"/>
      <c r="I39" s="59"/>
      <c r="J39" s="59"/>
      <c r="K39" s="59"/>
      <c r="L39" s="59"/>
      <c r="M39" s="60"/>
      <c r="N39" s="21">
        <f>SUM(N26:N38)</f>
        <v>-1498860</v>
      </c>
      <c r="O39" s="75"/>
      <c r="P39" s="18"/>
    </row>
    <row r="40" spans="1:16" ht="16.5" thickBot="1" x14ac:dyDescent="0.3">
      <c r="A40" s="68"/>
      <c r="B40" s="69"/>
      <c r="C40" s="70"/>
      <c r="D40" s="26"/>
      <c r="E40" s="25"/>
      <c r="F40" s="25"/>
      <c r="G40" s="25"/>
      <c r="H40" s="25"/>
      <c r="I40" s="25"/>
      <c r="J40" s="25"/>
      <c r="K40" s="25"/>
      <c r="L40" s="13"/>
      <c r="M40" s="13"/>
      <c r="N40" s="27"/>
      <c r="O40" s="18"/>
      <c r="P40" s="18"/>
    </row>
    <row r="41" spans="1:16" ht="19.5" thickBot="1" x14ac:dyDescent="0.3">
      <c r="A41" s="71"/>
      <c r="B41" s="72"/>
      <c r="C41" s="73"/>
      <c r="D41" s="59" t="s">
        <v>42</v>
      </c>
      <c r="E41" s="59"/>
      <c r="F41" s="59"/>
      <c r="G41" s="59"/>
      <c r="H41" s="59"/>
      <c r="I41" s="59"/>
      <c r="J41" s="59"/>
      <c r="K41" s="59"/>
      <c r="L41" s="59"/>
      <c r="M41" s="60"/>
      <c r="N41" s="21">
        <f>+N25+N39-1</f>
        <v>4527</v>
      </c>
      <c r="O41" s="24" t="s">
        <v>38</v>
      </c>
      <c r="P41" s="18"/>
    </row>
    <row r="42" spans="1:16" x14ac:dyDescent="0.25">
      <c r="N42" s="18"/>
      <c r="O42" s="18"/>
      <c r="P42" s="18"/>
    </row>
    <row r="43" spans="1:16" x14ac:dyDescent="0.25">
      <c r="N43" s="18"/>
      <c r="O43" s="18"/>
      <c r="P43" s="18"/>
    </row>
    <row r="44" spans="1:16" x14ac:dyDescent="0.25">
      <c r="N44" s="18"/>
      <c r="O44" s="18"/>
      <c r="P44" s="18"/>
    </row>
    <row r="45" spans="1:16" x14ac:dyDescent="0.25">
      <c r="N45" s="18"/>
      <c r="O45" s="18"/>
      <c r="P45" s="18"/>
    </row>
    <row r="46" spans="1:16" x14ac:dyDescent="0.25">
      <c r="N46" s="18"/>
      <c r="O46" s="18"/>
      <c r="P46" s="18"/>
    </row>
  </sheetData>
  <mergeCells count="12">
    <mergeCell ref="D41:M41"/>
    <mergeCell ref="A26:C41"/>
    <mergeCell ref="A5:B5"/>
    <mergeCell ref="A6:B6"/>
    <mergeCell ref="O26:O39"/>
    <mergeCell ref="A1:B1"/>
    <mergeCell ref="A2:B2"/>
    <mergeCell ref="A3:B3"/>
    <mergeCell ref="A4:B4"/>
    <mergeCell ref="D39:M39"/>
    <mergeCell ref="A25:C25"/>
    <mergeCell ref="C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zoomScale="90" zoomScaleNormal="90" workbookViewId="0">
      <pane ySplit="7" topLeftCell="A9" activePane="bottomLeft" state="frozen"/>
      <selection pane="bottomLeft" activeCell="E12" sqref="E12"/>
    </sheetView>
  </sheetViews>
  <sheetFormatPr defaultColWidth="8.85546875" defaultRowHeight="15.75" x14ac:dyDescent="0.25"/>
  <cols>
    <col min="1" max="1" width="14.140625" style="7" bestFit="1" customWidth="1"/>
    <col min="2" max="2" width="26.5703125" style="1" customWidth="1"/>
    <col min="3" max="3" width="12.28515625" style="1" bestFit="1" customWidth="1"/>
    <col min="4" max="4" width="15.85546875" style="1" bestFit="1" customWidth="1"/>
    <col min="5" max="5" width="15.42578125" style="1" customWidth="1"/>
    <col min="6" max="6" width="13.7109375" style="1" customWidth="1"/>
    <col min="7" max="8" width="12.7109375" style="1" customWidth="1"/>
    <col min="9" max="9" width="18.28515625" style="1" customWidth="1"/>
    <col min="10" max="10" width="14.5703125" style="1" customWidth="1"/>
    <col min="11" max="11" width="12.7109375" style="1" customWidth="1"/>
    <col min="12" max="12" width="14.5703125" style="1" bestFit="1" customWidth="1"/>
    <col min="13" max="13" width="13.7109375" style="1" bestFit="1" customWidth="1"/>
    <col min="14" max="14" width="15.85546875" style="1" bestFit="1" customWidth="1"/>
    <col min="15" max="15" width="24.5703125" style="1" bestFit="1" customWidth="1"/>
    <col min="16" max="16" width="15.85546875" style="1" bestFit="1" customWidth="1"/>
    <col min="17" max="17" width="15.28515625" style="1" bestFit="1" customWidth="1"/>
    <col min="18" max="16384" width="8.85546875" style="1"/>
  </cols>
  <sheetData>
    <row r="1" spans="1:17" ht="20.25" x14ac:dyDescent="0.25">
      <c r="A1" s="76" t="s">
        <v>0</v>
      </c>
      <c r="B1" s="76"/>
      <c r="C1" s="64" t="s">
        <v>44</v>
      </c>
      <c r="D1" s="64"/>
    </row>
    <row r="2" spans="1:17" x14ac:dyDescent="0.25">
      <c r="A2" s="56"/>
      <c r="B2" s="56"/>
    </row>
    <row r="3" spans="1:17" ht="18.75" x14ac:dyDescent="0.25">
      <c r="A3" s="57" t="s">
        <v>23</v>
      </c>
      <c r="B3" s="57"/>
      <c r="P3" s="1" t="s">
        <v>59</v>
      </c>
    </row>
    <row r="4" spans="1:17" x14ac:dyDescent="0.25">
      <c r="A4" s="56"/>
      <c r="B4" s="56"/>
      <c r="P4" s="1" t="s">
        <v>60</v>
      </c>
    </row>
    <row r="5" spans="1:17" x14ac:dyDescent="0.25">
      <c r="A5" s="56" t="s">
        <v>53</v>
      </c>
      <c r="B5" s="56"/>
      <c r="L5" s="80" t="s">
        <v>66</v>
      </c>
      <c r="M5" s="80" t="s">
        <v>65</v>
      </c>
      <c r="P5" s="1" t="s">
        <v>61</v>
      </c>
    </row>
    <row r="6" spans="1:17" s="2" customFormat="1" ht="16.5" thickBot="1" x14ac:dyDescent="0.3">
      <c r="A6" s="74"/>
      <c r="B6" s="74"/>
      <c r="D6" s="24" t="s">
        <v>28</v>
      </c>
      <c r="L6" s="24" t="s">
        <v>29</v>
      </c>
      <c r="M6" s="24" t="s">
        <v>30</v>
      </c>
      <c r="N6" s="24" t="s">
        <v>31</v>
      </c>
      <c r="P6" s="2" t="s">
        <v>62</v>
      </c>
    </row>
    <row r="7" spans="1:17" s="2" customFormat="1" ht="45.6" customHeight="1" thickBot="1" x14ac:dyDescent="0.3">
      <c r="A7" s="9" t="s">
        <v>1</v>
      </c>
      <c r="B7" s="10" t="s">
        <v>2</v>
      </c>
      <c r="C7" s="11" t="s">
        <v>24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49</v>
      </c>
      <c r="I7" s="11" t="s">
        <v>8</v>
      </c>
      <c r="J7" s="11" t="s">
        <v>9</v>
      </c>
      <c r="K7" s="11" t="s">
        <v>10</v>
      </c>
      <c r="L7" s="11" t="s">
        <v>25</v>
      </c>
      <c r="M7" s="11" t="s">
        <v>48</v>
      </c>
      <c r="N7" s="12" t="s">
        <v>26</v>
      </c>
      <c r="P7" s="2" t="s">
        <v>63</v>
      </c>
    </row>
    <row r="8" spans="1:17" ht="45.75" customHeight="1" x14ac:dyDescent="0.25">
      <c r="A8" s="46" t="s">
        <v>46</v>
      </c>
      <c r="B8" s="47" t="s">
        <v>47</v>
      </c>
      <c r="C8" s="48"/>
      <c r="D8" s="49">
        <v>4528</v>
      </c>
      <c r="E8" s="50"/>
      <c r="F8" s="50"/>
      <c r="G8" s="50"/>
      <c r="H8" s="50"/>
      <c r="I8" s="50"/>
      <c r="J8" s="50"/>
      <c r="K8" s="50"/>
      <c r="L8" s="50"/>
      <c r="M8" s="50"/>
      <c r="N8" s="51">
        <v>4528</v>
      </c>
    </row>
    <row r="9" spans="1:17" x14ac:dyDescent="0.25">
      <c r="A9" s="30"/>
      <c r="B9" s="31"/>
      <c r="C9" s="32"/>
      <c r="D9" s="33"/>
      <c r="E9" s="34"/>
      <c r="F9" s="34"/>
      <c r="G9" s="34"/>
      <c r="H9" s="34"/>
      <c r="I9" s="34"/>
      <c r="J9" s="34"/>
      <c r="K9" s="34"/>
      <c r="L9" s="34"/>
      <c r="M9" s="34"/>
      <c r="N9" s="35"/>
    </row>
    <row r="10" spans="1:17" x14ac:dyDescent="0.25">
      <c r="A10" s="82">
        <v>44156</v>
      </c>
      <c r="B10" s="31" t="s">
        <v>0</v>
      </c>
      <c r="C10" s="32" t="s">
        <v>54</v>
      </c>
      <c r="D10" s="33">
        <v>112355</v>
      </c>
      <c r="E10" s="34">
        <v>90000</v>
      </c>
      <c r="F10" s="34">
        <v>3500</v>
      </c>
      <c r="G10" s="34"/>
      <c r="H10" s="34"/>
      <c r="I10" s="34"/>
      <c r="J10" s="34">
        <v>1716</v>
      </c>
      <c r="K10" s="34"/>
      <c r="L10" s="77">
        <f t="shared" ref="L10:L14" si="0">SUM(E10:K10)</f>
        <v>95216</v>
      </c>
      <c r="M10" s="78">
        <f t="shared" ref="M10:M12" si="1">ROUND(L10*7.5%,0)</f>
        <v>7141</v>
      </c>
      <c r="N10" s="35">
        <f t="shared" ref="N10:N14" si="2">+D10-M10</f>
        <v>105214</v>
      </c>
      <c r="O10" s="1">
        <v>92500</v>
      </c>
      <c r="P10" s="81">
        <f>O10-E10</f>
        <v>2500</v>
      </c>
      <c r="Q10" s="1">
        <v>103505</v>
      </c>
    </row>
    <row r="11" spans="1:17" x14ac:dyDescent="0.25">
      <c r="A11" s="83">
        <v>44157</v>
      </c>
      <c r="B11" s="31" t="s">
        <v>0</v>
      </c>
      <c r="C11" s="32" t="s">
        <v>55</v>
      </c>
      <c r="D11" s="33">
        <v>108551</v>
      </c>
      <c r="E11" s="34">
        <v>65000</v>
      </c>
      <c r="F11" s="34">
        <v>2300</v>
      </c>
      <c r="G11" s="34">
        <v>6000</v>
      </c>
      <c r="H11" s="34">
        <v>8000</v>
      </c>
      <c r="I11" s="34"/>
      <c r="J11" s="34">
        <v>10692</v>
      </c>
      <c r="K11" s="34"/>
      <c r="L11" s="77">
        <f t="shared" si="0"/>
        <v>91992</v>
      </c>
      <c r="M11" s="78">
        <f t="shared" si="1"/>
        <v>6899</v>
      </c>
      <c r="N11" s="35">
        <f t="shared" si="2"/>
        <v>101652</v>
      </c>
      <c r="Q11" s="1">
        <v>108551</v>
      </c>
    </row>
    <row r="12" spans="1:17" x14ac:dyDescent="0.25">
      <c r="A12" s="82">
        <v>44157</v>
      </c>
      <c r="B12" s="31" t="s">
        <v>0</v>
      </c>
      <c r="C12" s="32" t="s">
        <v>56</v>
      </c>
      <c r="D12" s="33">
        <v>290583</v>
      </c>
      <c r="E12" s="34">
        <v>195417</v>
      </c>
      <c r="F12" s="34">
        <v>3500</v>
      </c>
      <c r="G12" s="34">
        <v>4000</v>
      </c>
      <c r="H12" s="34"/>
      <c r="I12" s="34"/>
      <c r="J12" s="34">
        <v>43340</v>
      </c>
      <c r="K12" s="34"/>
      <c r="L12" s="77">
        <f t="shared" si="0"/>
        <v>246257</v>
      </c>
      <c r="M12" s="78">
        <f t="shared" si="1"/>
        <v>18469</v>
      </c>
      <c r="N12" s="35">
        <f t="shared" si="2"/>
        <v>272114</v>
      </c>
      <c r="O12" s="1">
        <v>200417</v>
      </c>
      <c r="P12" s="81">
        <f>O12-E12</f>
        <v>5000</v>
      </c>
      <c r="Q12" s="1">
        <v>284683</v>
      </c>
    </row>
    <row r="13" spans="1:17" x14ac:dyDescent="0.25">
      <c r="A13" s="82">
        <v>44158</v>
      </c>
      <c r="B13" s="31" t="s">
        <v>0</v>
      </c>
      <c r="C13" s="32" t="s">
        <v>57</v>
      </c>
      <c r="D13" s="33">
        <v>110330</v>
      </c>
      <c r="E13" s="34">
        <v>90000</v>
      </c>
      <c r="F13" s="34">
        <v>3500</v>
      </c>
      <c r="G13" s="34"/>
      <c r="H13" s="34"/>
      <c r="I13" s="34"/>
      <c r="J13" s="34"/>
      <c r="K13" s="34"/>
      <c r="L13" s="77">
        <f t="shared" si="0"/>
        <v>93500</v>
      </c>
      <c r="M13" s="78">
        <v>1158</v>
      </c>
      <c r="N13" s="35">
        <f t="shared" si="2"/>
        <v>109172</v>
      </c>
      <c r="O13" s="1">
        <v>92500</v>
      </c>
      <c r="P13" s="81">
        <f>O13-E13</f>
        <v>2500</v>
      </c>
      <c r="Q13" s="1">
        <v>102311</v>
      </c>
    </row>
    <row r="14" spans="1:17" ht="16.5" thickBot="1" x14ac:dyDescent="0.3">
      <c r="A14" s="82">
        <v>44158</v>
      </c>
      <c r="B14" s="31" t="s">
        <v>0</v>
      </c>
      <c r="C14" s="32" t="s">
        <v>58</v>
      </c>
      <c r="D14" s="33">
        <v>831</v>
      </c>
      <c r="E14" s="34"/>
      <c r="F14" s="34"/>
      <c r="G14" s="34"/>
      <c r="H14" s="34"/>
      <c r="I14" s="34"/>
      <c r="J14" s="34">
        <v>704</v>
      </c>
      <c r="K14" s="34"/>
      <c r="L14" s="77">
        <f t="shared" si="0"/>
        <v>704</v>
      </c>
      <c r="M14" s="34">
        <v>0</v>
      </c>
      <c r="N14" s="35">
        <f t="shared" si="2"/>
        <v>831</v>
      </c>
    </row>
    <row r="15" spans="1:17" ht="16.5" thickBot="1" x14ac:dyDescent="0.3">
      <c r="A15" s="61" t="s">
        <v>22</v>
      </c>
      <c r="B15" s="62"/>
      <c r="C15" s="63"/>
      <c r="D15" s="41">
        <f>SUM(D8:D14)</f>
        <v>627178</v>
      </c>
      <c r="E15" s="41">
        <f t="shared" ref="E15:M15" si="3">SUM(E8:E14)</f>
        <v>440417</v>
      </c>
      <c r="F15" s="41">
        <f t="shared" si="3"/>
        <v>12800</v>
      </c>
      <c r="G15" s="41">
        <f t="shared" si="3"/>
        <v>10000</v>
      </c>
      <c r="H15" s="41">
        <f t="shared" si="3"/>
        <v>8000</v>
      </c>
      <c r="I15" s="41">
        <f t="shared" si="3"/>
        <v>0</v>
      </c>
      <c r="J15" s="41">
        <f t="shared" si="3"/>
        <v>56452</v>
      </c>
      <c r="K15" s="41">
        <f t="shared" si="3"/>
        <v>0</v>
      </c>
      <c r="L15" s="41">
        <f t="shared" si="3"/>
        <v>527669</v>
      </c>
      <c r="M15" s="41">
        <f t="shared" si="3"/>
        <v>33667</v>
      </c>
      <c r="N15" s="28">
        <f>SUM(N8:N14)</f>
        <v>593511</v>
      </c>
      <c r="O15" s="2" t="s">
        <v>34</v>
      </c>
      <c r="P15" s="45"/>
    </row>
    <row r="16" spans="1:17" x14ac:dyDescent="0.25">
      <c r="A16" s="65" t="s">
        <v>27</v>
      </c>
      <c r="B16" s="66"/>
      <c r="C16" s="67"/>
      <c r="D16" s="54">
        <v>44156</v>
      </c>
      <c r="E16" s="43"/>
      <c r="F16" s="43"/>
      <c r="G16" s="43"/>
      <c r="H16" s="43"/>
      <c r="I16" s="43"/>
      <c r="J16" s="43"/>
      <c r="K16" s="43"/>
      <c r="L16" s="43" t="s">
        <v>32</v>
      </c>
      <c r="M16" s="43" t="s">
        <v>33</v>
      </c>
      <c r="N16" s="79">
        <v>-409402</v>
      </c>
      <c r="O16" s="75" t="s">
        <v>37</v>
      </c>
      <c r="P16" s="18"/>
      <c r="Q16" s="2"/>
    </row>
    <row r="17" spans="1:17" x14ac:dyDescent="0.25">
      <c r="A17" s="68"/>
      <c r="B17" s="69"/>
      <c r="C17" s="70"/>
      <c r="D17" s="54">
        <v>44158</v>
      </c>
      <c r="E17" s="43"/>
      <c r="F17" s="43"/>
      <c r="G17" s="43"/>
      <c r="H17" s="43"/>
      <c r="I17" s="43"/>
      <c r="J17" s="43"/>
      <c r="K17" s="43"/>
      <c r="L17" s="43" t="s">
        <v>32</v>
      </c>
      <c r="M17" s="43" t="s">
        <v>33</v>
      </c>
      <c r="N17" s="79">
        <v>-74366</v>
      </c>
      <c r="O17" s="75"/>
      <c r="P17" s="18">
        <f>N15+N17+N16</f>
        <v>109743</v>
      </c>
      <c r="Q17" s="45"/>
    </row>
    <row r="18" spans="1:17" ht="16.5" thickBot="1" x14ac:dyDescent="0.3">
      <c r="A18" s="68"/>
      <c r="B18" s="69"/>
      <c r="C18" s="70"/>
      <c r="D18" s="54">
        <v>44180</v>
      </c>
      <c r="E18" s="43"/>
      <c r="F18" s="43"/>
      <c r="G18" s="43"/>
      <c r="H18" s="43"/>
      <c r="I18" s="43"/>
      <c r="J18" s="43"/>
      <c r="K18" s="43"/>
      <c r="L18" s="43" t="s">
        <v>32</v>
      </c>
      <c r="M18" s="43" t="s">
        <v>33</v>
      </c>
      <c r="N18" s="79">
        <v>-105216</v>
      </c>
      <c r="O18" s="75"/>
      <c r="P18" s="18"/>
      <c r="Q18" s="45"/>
    </row>
    <row r="19" spans="1:17" ht="19.5" thickBot="1" x14ac:dyDescent="0.3">
      <c r="A19" s="68"/>
      <c r="B19" s="69"/>
      <c r="C19" s="70"/>
      <c r="D19" s="58" t="s">
        <v>36</v>
      </c>
      <c r="E19" s="59"/>
      <c r="F19" s="59"/>
      <c r="G19" s="59"/>
      <c r="H19" s="59"/>
      <c r="I19" s="59"/>
      <c r="J19" s="59"/>
      <c r="K19" s="59"/>
      <c r="L19" s="59"/>
      <c r="M19" s="60"/>
      <c r="N19" s="21">
        <f>SUM(N16:N18)</f>
        <v>-588984</v>
      </c>
      <c r="O19" s="75"/>
      <c r="P19" s="18"/>
    </row>
    <row r="20" spans="1:17" ht="16.5" thickBot="1" x14ac:dyDescent="0.3">
      <c r="A20" s="68"/>
      <c r="B20" s="69"/>
      <c r="C20" s="70"/>
      <c r="D20" s="26"/>
      <c r="E20" s="25"/>
      <c r="F20" s="25"/>
      <c r="G20" s="25"/>
      <c r="H20" s="25"/>
      <c r="I20" s="25"/>
      <c r="J20" s="25"/>
      <c r="K20" s="25"/>
      <c r="L20" s="13"/>
      <c r="M20" s="13"/>
      <c r="N20" s="27"/>
      <c r="O20" s="18"/>
      <c r="P20" s="18"/>
    </row>
    <row r="21" spans="1:17" ht="19.5" thickBot="1" x14ac:dyDescent="0.3">
      <c r="A21" s="71"/>
      <c r="B21" s="72"/>
      <c r="C21" s="73"/>
      <c r="D21" s="59" t="s">
        <v>50</v>
      </c>
      <c r="E21" s="59"/>
      <c r="F21" s="59"/>
      <c r="G21" s="59"/>
      <c r="H21" s="59"/>
      <c r="I21" s="59"/>
      <c r="J21" s="59"/>
      <c r="K21" s="59"/>
      <c r="L21" s="59"/>
      <c r="M21" s="60"/>
      <c r="N21" s="21">
        <f>+N15+N19-1</f>
        <v>4526</v>
      </c>
      <c r="O21" s="53" t="s">
        <v>38</v>
      </c>
      <c r="P21" s="18"/>
    </row>
    <row r="22" spans="1:17" x14ac:dyDescent="0.25">
      <c r="M22" s="45"/>
      <c r="N22" s="18"/>
      <c r="O22" s="18"/>
      <c r="P22" s="18"/>
    </row>
    <row r="23" spans="1:17" x14ac:dyDescent="0.25">
      <c r="N23" s="80" t="s">
        <v>64</v>
      </c>
    </row>
  </sheetData>
  <mergeCells count="12">
    <mergeCell ref="A6:B6"/>
    <mergeCell ref="A15:C15"/>
    <mergeCell ref="A16:C21"/>
    <mergeCell ref="O16:O19"/>
    <mergeCell ref="D19:M19"/>
    <mergeCell ref="D21:M21"/>
    <mergeCell ref="A5:B5"/>
    <mergeCell ref="A1:B1"/>
    <mergeCell ref="C1:D1"/>
    <mergeCell ref="A2:B2"/>
    <mergeCell ref="A3:B3"/>
    <mergeCell ref="A4:B4"/>
  </mergeCells>
  <pageMargins left="0.59055118110236227" right="0" top="0.19685039370078741" bottom="0" header="0.31496062992125984" footer="0.31496062992125984"/>
  <pageSetup paperSize="9" scale="69" orientation="portrait" r:id="rId1"/>
  <ignoredErrors>
    <ignoredError sqref="L10:M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2019-20</vt:lpstr>
      <vt:lpstr>Essel Vision Production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ELLORA</dc:creator>
  <cp:lastModifiedBy>User</cp:lastModifiedBy>
  <cp:lastPrinted>2020-12-15T11:47:27Z</cp:lastPrinted>
  <dcterms:created xsi:type="dcterms:W3CDTF">2020-01-28T11:06:38Z</dcterms:created>
  <dcterms:modified xsi:type="dcterms:W3CDTF">2021-01-13T19:50:37Z</dcterms:modified>
</cp:coreProperties>
</file>